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4ff7363c6b97a5f/Documents/"/>
    </mc:Choice>
  </mc:AlternateContent>
  <xr:revisionPtr revIDLastSave="9" documentId="13_ncr:1_{844EFDD6-1284-4304-90C6-20B69C0208FE}" xr6:coauthVersionLast="47" xr6:coauthVersionMax="47" xr10:uidLastSave="{47421A98-434F-4D06-87A5-5421701AE832}"/>
  <bookViews>
    <workbookView xWindow="-108" yWindow="-108" windowWidth="23256" windowHeight="13896" activeTab="1" xr2:uid="{00000000-000D-0000-FFFF-FFFF00000000}"/>
  </bookViews>
  <sheets>
    <sheet name="Cover Page" sheetId="1" r:id="rId1"/>
    <sheet name="Three Statement Model" sheetId="2" r:id="rId2"/>
  </sheets>
  <definedNames>
    <definedName name="CIQWBGuid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"10/01/2018 15:52:08"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uri="GoogleSheetsCustomDataVersion1">
      <go:sheetsCustomData xmlns:go="http://customooxmlschemas.google.com/" r:id="rId7" roundtripDataSignature="AMtx7mhWz6wbBQJYzkd08k8WBcMP626QnQ=="/>
    </ext>
  </extLst>
</workbook>
</file>

<file path=xl/calcChain.xml><?xml version="1.0" encoding="utf-8"?>
<calcChain xmlns="http://schemas.openxmlformats.org/spreadsheetml/2006/main">
  <c r="D114" i="2" l="1"/>
  <c r="E115" i="2"/>
  <c r="F115" i="2"/>
  <c r="G115" i="2"/>
  <c r="H115" i="2"/>
  <c r="I115" i="2"/>
  <c r="J115" i="2"/>
  <c r="K115" i="2"/>
  <c r="L115" i="2"/>
  <c r="M115" i="2"/>
  <c r="D115" i="2"/>
  <c r="E114" i="2"/>
  <c r="F114" i="2"/>
  <c r="G114" i="2"/>
  <c r="H114" i="2"/>
  <c r="I114" i="2"/>
  <c r="J114" i="2"/>
  <c r="K114" i="2"/>
  <c r="L114" i="2"/>
  <c r="M114" i="2"/>
  <c r="E113" i="2"/>
  <c r="F113" i="2"/>
  <c r="G113" i="2"/>
  <c r="H113" i="2"/>
  <c r="I113" i="2"/>
  <c r="J113" i="2"/>
  <c r="K113" i="2"/>
  <c r="L113" i="2"/>
  <c r="M113" i="2"/>
  <c r="D113" i="2"/>
  <c r="E111" i="2"/>
  <c r="F111" i="2"/>
  <c r="G111" i="2"/>
  <c r="H111" i="2"/>
  <c r="I111" i="2"/>
  <c r="J111" i="2"/>
  <c r="K111" i="2"/>
  <c r="L111" i="2"/>
  <c r="M111" i="2"/>
  <c r="D111" i="2"/>
  <c r="E110" i="2"/>
  <c r="F110" i="2"/>
  <c r="G110" i="2"/>
  <c r="H110" i="2"/>
  <c r="I110" i="2"/>
  <c r="J110" i="2"/>
  <c r="K110" i="2"/>
  <c r="L110" i="2"/>
  <c r="M110" i="2"/>
  <c r="D110" i="2"/>
  <c r="K101" i="2"/>
  <c r="H103" i="2"/>
  <c r="J102" i="2"/>
  <c r="K102" i="2"/>
  <c r="L102" i="2"/>
  <c r="M102" i="2"/>
  <c r="I102" i="2"/>
  <c r="I101" i="2"/>
  <c r="I103" i="2" s="1"/>
  <c r="J101" i="2" s="1"/>
  <c r="J103" i="2" s="1"/>
  <c r="K103" i="2" s="1"/>
  <c r="L101" i="2" s="1"/>
  <c r="L103" i="2" s="1"/>
  <c r="M101" i="2" s="1"/>
  <c r="M103" i="2" s="1"/>
  <c r="F101" i="2"/>
  <c r="F103" i="2"/>
  <c r="E103" i="2"/>
  <c r="G103" i="2"/>
  <c r="D103" i="2"/>
  <c r="E102" i="2"/>
  <c r="F102" i="2"/>
  <c r="G102" i="2"/>
  <c r="H102" i="2"/>
  <c r="D102" i="2"/>
  <c r="G101" i="2"/>
  <c r="H101" i="2"/>
  <c r="E101" i="2"/>
  <c r="E96" i="2"/>
  <c r="F95" i="2"/>
  <c r="G95" i="2"/>
  <c r="H95" i="2"/>
  <c r="E95" i="2"/>
  <c r="H96" i="2"/>
  <c r="M66" i="2"/>
  <c r="K66" i="2"/>
  <c r="K97" i="2"/>
  <c r="J97" i="2"/>
  <c r="L97" i="2"/>
  <c r="M97" i="2"/>
  <c r="I97" i="2"/>
  <c r="I66" i="2"/>
  <c r="E98" i="2"/>
  <c r="F98" i="2"/>
  <c r="G98" i="2"/>
  <c r="H98" i="2"/>
  <c r="D98" i="2"/>
  <c r="J96" i="2"/>
  <c r="K96" i="2"/>
  <c r="L96" i="2"/>
  <c r="M96" i="2"/>
  <c r="I96" i="2"/>
  <c r="M92" i="2"/>
  <c r="L92" i="2"/>
  <c r="K92" i="2"/>
  <c r="J92" i="2"/>
  <c r="I92" i="2"/>
  <c r="G92" i="2"/>
  <c r="H92" i="2"/>
  <c r="F92" i="2"/>
  <c r="D92" i="2"/>
  <c r="E92" i="2"/>
  <c r="J91" i="2"/>
  <c r="E91" i="2"/>
  <c r="F91" i="2"/>
  <c r="G91" i="2"/>
  <c r="H91" i="2"/>
  <c r="I91" i="2"/>
  <c r="K91" i="2"/>
  <c r="L91" i="2"/>
  <c r="M91" i="2"/>
  <c r="D91" i="2"/>
  <c r="M90" i="2"/>
  <c r="L90" i="2"/>
  <c r="K90" i="2"/>
  <c r="J90" i="2"/>
  <c r="I90" i="2"/>
  <c r="K89" i="2"/>
  <c r="J89" i="2"/>
  <c r="L89" i="2"/>
  <c r="M89" i="2"/>
  <c r="H89" i="2"/>
  <c r="I89" i="2"/>
  <c r="G90" i="2"/>
  <c r="H90" i="2"/>
  <c r="F90" i="2"/>
  <c r="E90" i="2"/>
  <c r="D90" i="2"/>
  <c r="G89" i="2"/>
  <c r="F89" i="2"/>
  <c r="E89" i="2"/>
  <c r="D89" i="2"/>
  <c r="E88" i="2"/>
  <c r="F88" i="2"/>
  <c r="G88" i="2"/>
  <c r="H88" i="2"/>
  <c r="D88" i="2"/>
  <c r="J88" i="2"/>
  <c r="K88" i="2"/>
  <c r="L88" i="2"/>
  <c r="M88" i="2"/>
  <c r="I88" i="2"/>
  <c r="I80" i="2"/>
  <c r="J81" i="2"/>
  <c r="K81" i="2"/>
  <c r="L81" i="2"/>
  <c r="M81" i="2"/>
  <c r="I81" i="2"/>
  <c r="H81" i="2"/>
  <c r="M80" i="2"/>
  <c r="L80" i="2"/>
  <c r="K80" i="2"/>
  <c r="J80" i="2"/>
  <c r="H80" i="2"/>
  <c r="G80" i="2"/>
  <c r="F80" i="2"/>
  <c r="E81" i="2"/>
  <c r="E80" i="2"/>
  <c r="D81" i="2" s="1"/>
  <c r="M79" i="2"/>
  <c r="L79" i="2"/>
  <c r="K79" i="2"/>
  <c r="J79" i="2"/>
  <c r="G79" i="2"/>
  <c r="G81" i="2" s="1"/>
  <c r="H79" i="2"/>
  <c r="E79" i="2"/>
  <c r="F79" i="2"/>
  <c r="D79" i="2"/>
  <c r="I79" i="2"/>
  <c r="M77" i="2"/>
  <c r="L77" i="2"/>
  <c r="K77" i="2"/>
  <c r="J77" i="2"/>
  <c r="I77" i="2"/>
  <c r="H77" i="2"/>
  <c r="M76" i="2"/>
  <c r="L76" i="2"/>
  <c r="K76" i="2"/>
  <c r="J76" i="2"/>
  <c r="I76" i="2"/>
  <c r="M75" i="2"/>
  <c r="L75" i="2"/>
  <c r="K75" i="2"/>
  <c r="J75" i="2"/>
  <c r="I75" i="2"/>
  <c r="J72" i="2"/>
  <c r="K72" i="2"/>
  <c r="L72" i="2"/>
  <c r="M72" i="2"/>
  <c r="I72" i="2"/>
  <c r="J71" i="2"/>
  <c r="K71" i="2"/>
  <c r="L71" i="2"/>
  <c r="M71" i="2"/>
  <c r="I71" i="2"/>
  <c r="J68" i="2"/>
  <c r="K68" i="2"/>
  <c r="L68" i="2"/>
  <c r="M68" i="2"/>
  <c r="I68" i="2"/>
  <c r="H68" i="2"/>
  <c r="J67" i="2"/>
  <c r="K67" i="2"/>
  <c r="L67" i="2"/>
  <c r="M67" i="2"/>
  <c r="I67" i="2"/>
  <c r="J66" i="2"/>
  <c r="L66" i="2"/>
  <c r="J65" i="2"/>
  <c r="K65" i="2"/>
  <c r="L65" i="2"/>
  <c r="M65" i="2"/>
  <c r="I65" i="2"/>
  <c r="J47" i="2"/>
  <c r="K47" i="2"/>
  <c r="L47" i="2"/>
  <c r="M47" i="2"/>
  <c r="I47" i="2"/>
  <c r="M43" i="2"/>
  <c r="K43" i="2"/>
  <c r="J43" i="2"/>
  <c r="L43" i="2"/>
  <c r="I43" i="2"/>
  <c r="J57" i="2"/>
  <c r="K57" i="2"/>
  <c r="L57" i="2"/>
  <c r="M57" i="2"/>
  <c r="I57" i="2"/>
  <c r="J56" i="2"/>
  <c r="K56" i="2"/>
  <c r="L56" i="2"/>
  <c r="M56" i="2"/>
  <c r="I56" i="2"/>
  <c r="J55" i="2"/>
  <c r="K55" i="2"/>
  <c r="L55" i="2" s="1"/>
  <c r="M55" i="2" s="1"/>
  <c r="I55" i="2"/>
  <c r="H56" i="2"/>
  <c r="H57" i="2"/>
  <c r="L52" i="2"/>
  <c r="K52" i="2"/>
  <c r="J52" i="2"/>
  <c r="M52" i="2"/>
  <c r="I52" i="2"/>
  <c r="M51" i="2"/>
  <c r="J51" i="2"/>
  <c r="I51" i="2"/>
  <c r="K51" i="2"/>
  <c r="L51" i="2"/>
  <c r="M50" i="2"/>
  <c r="I50" i="2"/>
  <c r="J50" i="2"/>
  <c r="K50" i="2"/>
  <c r="L50" i="2"/>
  <c r="L46" i="2"/>
  <c r="I46" i="2"/>
  <c r="J46" i="2"/>
  <c r="K46" i="2"/>
  <c r="M46" i="2"/>
  <c r="M45" i="2"/>
  <c r="J45" i="2"/>
  <c r="K45" i="2"/>
  <c r="L45" i="2"/>
  <c r="I45" i="2"/>
  <c r="L44" i="2"/>
  <c r="J44" i="2"/>
  <c r="K44" i="2"/>
  <c r="M44" i="2"/>
  <c r="I44" i="2"/>
  <c r="I15" i="2"/>
  <c r="J37" i="2"/>
  <c r="K37" i="2"/>
  <c r="L37" i="2"/>
  <c r="M37" i="2"/>
  <c r="I37" i="2"/>
  <c r="J36" i="2"/>
  <c r="K36" i="2"/>
  <c r="L36" i="2"/>
  <c r="M36" i="2"/>
  <c r="I36" i="2"/>
  <c r="L34" i="2"/>
  <c r="K34" i="2"/>
  <c r="J34" i="2"/>
  <c r="I34" i="2"/>
  <c r="M34" i="2"/>
  <c r="L33" i="2"/>
  <c r="J33" i="2"/>
  <c r="K33" i="2"/>
  <c r="M33" i="2"/>
  <c r="I33" i="2"/>
  <c r="J31" i="2"/>
  <c r="K31" i="2" s="1"/>
  <c r="L31" i="2" s="1"/>
  <c r="M31" i="2" s="1"/>
  <c r="I31" i="2"/>
  <c r="I30" i="2"/>
  <c r="M30" i="2"/>
  <c r="L30" i="2"/>
  <c r="J30" i="2"/>
  <c r="K30" i="2"/>
  <c r="K28" i="2"/>
  <c r="J28" i="2"/>
  <c r="L28" i="2"/>
  <c r="M28" i="2"/>
  <c r="I28" i="2"/>
  <c r="J27" i="2"/>
  <c r="K27" i="2"/>
  <c r="L27" i="2"/>
  <c r="M27" i="2"/>
  <c r="I27" i="2"/>
  <c r="K26" i="2"/>
  <c r="J26" i="2"/>
  <c r="L26" i="2"/>
  <c r="M26" i="2" s="1"/>
  <c r="I8" i="2"/>
  <c r="I26" i="2" s="1"/>
  <c r="M20" i="2"/>
  <c r="L20" i="2"/>
  <c r="K20" i="2"/>
  <c r="J20" i="2"/>
  <c r="I20" i="2"/>
  <c r="E20" i="2"/>
  <c r="H20" i="2"/>
  <c r="G20" i="2"/>
  <c r="F20" i="2"/>
  <c r="D20" i="2"/>
  <c r="M19" i="2"/>
  <c r="L19" i="2"/>
  <c r="K19" i="2"/>
  <c r="J19" i="2"/>
  <c r="I19" i="2"/>
  <c r="H19" i="2"/>
  <c r="G19" i="2"/>
  <c r="F19" i="2"/>
  <c r="E19" i="2"/>
  <c r="D19" i="2"/>
  <c r="H18" i="2"/>
  <c r="G18" i="2"/>
  <c r="F18" i="2"/>
  <c r="E18" i="2"/>
  <c r="D18" i="2"/>
  <c r="E17" i="2"/>
  <c r="E12" i="2"/>
  <c r="D13" i="2"/>
  <c r="G15" i="2"/>
  <c r="H17" i="2"/>
  <c r="G17" i="2"/>
  <c r="F17" i="2"/>
  <c r="D17" i="2"/>
  <c r="M17" i="2" s="1"/>
  <c r="D16" i="2"/>
  <c r="F16" i="2"/>
  <c r="H16" i="2"/>
  <c r="G16" i="2"/>
  <c r="E16" i="2"/>
  <c r="H15" i="2"/>
  <c r="F15" i="2"/>
  <c r="E15" i="2"/>
  <c r="D15" i="2"/>
  <c r="E14" i="2"/>
  <c r="F14" i="2"/>
  <c r="H14" i="2"/>
  <c r="G14" i="2"/>
  <c r="D14" i="2"/>
  <c r="L14" i="2" s="1"/>
  <c r="G12" i="2"/>
  <c r="H12" i="2"/>
  <c r="F12" i="2"/>
  <c r="D12" i="2"/>
  <c r="G9" i="2"/>
  <c r="H9" i="2"/>
  <c r="F9" i="2"/>
  <c r="E9" i="2"/>
  <c r="D9" i="2"/>
  <c r="M9" i="2" s="1"/>
  <c r="F8" i="2"/>
  <c r="H8" i="2"/>
  <c r="G8" i="2"/>
  <c r="E8" i="2"/>
  <c r="F81" i="2"/>
  <c r="F77" i="2"/>
  <c r="G77" i="2"/>
  <c r="E77" i="2"/>
  <c r="D77" i="2"/>
  <c r="H72" i="2"/>
  <c r="G72" i="2"/>
  <c r="F72" i="2"/>
  <c r="E72" i="2"/>
  <c r="D72" i="2"/>
  <c r="H67" i="2"/>
  <c r="G68" i="2"/>
  <c r="G67" i="2"/>
  <c r="F68" i="2"/>
  <c r="F67" i="2"/>
  <c r="E68" i="2"/>
  <c r="E67" i="2"/>
  <c r="D68" i="2"/>
  <c r="D67" i="2"/>
  <c r="F56" i="2"/>
  <c r="E56" i="2"/>
  <c r="G56" i="2"/>
  <c r="D56" i="2"/>
  <c r="H52" i="2"/>
  <c r="G52" i="2"/>
  <c r="F52" i="2"/>
  <c r="E52" i="2"/>
  <c r="D52" i="2"/>
  <c r="H47" i="2"/>
  <c r="G47" i="2"/>
  <c r="F47" i="2"/>
  <c r="E47" i="2"/>
  <c r="D47" i="2"/>
  <c r="F33" i="2"/>
  <c r="E33" i="2"/>
  <c r="D33" i="2"/>
  <c r="E2" i="2"/>
  <c r="F2" i="2" s="1"/>
  <c r="G2" i="2" s="1"/>
  <c r="H2" i="2" s="1"/>
  <c r="I2" i="2" s="1"/>
  <c r="J2" i="2" s="1"/>
  <c r="K2" i="2" s="1"/>
  <c r="L2" i="2" s="1"/>
  <c r="M2" i="2" s="1"/>
  <c r="G57" i="2" l="1"/>
  <c r="D57" i="2"/>
  <c r="L16" i="2"/>
  <c r="E57" i="2"/>
  <c r="F57" i="2"/>
  <c r="K8" i="2"/>
  <c r="M15" i="2"/>
  <c r="M12" i="2"/>
  <c r="L8" i="2"/>
  <c r="J16" i="2"/>
  <c r="K16" i="2"/>
  <c r="M16" i="2"/>
  <c r="M8" i="2"/>
  <c r="J8" i="2"/>
  <c r="M14" i="2"/>
  <c r="J17" i="2"/>
  <c r="K17" i="2"/>
  <c r="I12" i="2"/>
  <c r="J12" i="2"/>
  <c r="K12" i="2"/>
  <c r="L12" i="2"/>
  <c r="J15" i="2"/>
  <c r="K15" i="2"/>
  <c r="I9" i="2"/>
  <c r="L15" i="2"/>
  <c r="J9" i="2"/>
  <c r="I17" i="2"/>
  <c r="K9" i="2"/>
  <c r="L9" i="2"/>
  <c r="I14" i="2"/>
  <c r="L17" i="2"/>
  <c r="J14" i="2"/>
  <c r="K14" i="2"/>
  <c r="I16" i="2"/>
  <c r="I95" i="2" l="1"/>
  <c r="I98" i="2" s="1"/>
  <c r="J95" i="2" s="1"/>
  <c r="J98" i="2" s="1"/>
  <c r="K95" i="2" s="1"/>
  <c r="K98" i="2" s="1"/>
  <c r="L95" i="2" s="1"/>
  <c r="L98" i="2" s="1"/>
  <c r="M95" i="2" s="1"/>
  <c r="M98" i="2" s="1"/>
  <c r="F96" i="2"/>
  <c r="G96" i="2"/>
  <c r="D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J12" authorId="0" shapeId="0" xr:uid="{57C768C9-8F78-4417-9B7B-A8A26647A626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K12" authorId="0" shapeId="0" xr:uid="{656051B4-ECC3-43F7-AA8F-0C0F1C182909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L12" authorId="0" shapeId="0" xr:uid="{37C10FF0-B907-491B-B1DF-C19B067EB726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M12" authorId="0" shapeId="0" xr:uid="{18D94374-0252-486E-B72F-DD95AA956965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A10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ubhEm48HDhyUiKA9AhkULVfZX8g=="/>
    </ext>
  </extLst>
</comments>
</file>

<file path=xl/sharedStrings.xml><?xml version="1.0" encoding="utf-8"?>
<sst xmlns="http://schemas.openxmlformats.org/spreadsheetml/2006/main" count="147" uniqueCount="81">
  <si>
    <t>Historical Results</t>
  </si>
  <si>
    <t xml:space="preserve"> Forecast Period</t>
  </si>
  <si>
    <t>Assumptions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</si>
  <si>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</si>
  <si>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</si>
  <si>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</si>
  <si>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</si>
  <si>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</si>
  <si>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</si>
  <si>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</si>
  <si>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</si>
  <si>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</si>
  <si>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</si>
  <si>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</si>
  <si>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</si>
  <si>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</si>
  <si>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Income Statement</t>
  </si>
  <si>
    <t>Revenue</t>
  </si>
  <si>
    <t>Cost of Goods Sold (COGS)</t>
  </si>
  <si>
    <t>Gross Profit</t>
  </si>
  <si>
    <t>Expenses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</si>
  <si>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</si>
  <si>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</si>
  <si>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</si>
  <si>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</si>
  <si>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</si>
  <si>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</si>
  <si>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</si>
  <si>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</si>
  <si>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</si>
  <si>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</si>
  <si>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</si>
  <si>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</si>
  <si>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</si>
  <si>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</si>
  <si>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</si>
  <si>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</si>
  <si>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</si>
  <si>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</si>
  <si>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</si>
  <si>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</si>
  <si>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</si>
  <si>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</si>
  <si>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</si>
  <si>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</si>
  <si>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</si>
  <si>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</si>
  <si>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</si>
  <si>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</si>
  <si>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</si>
  <si>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</si>
  <si>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</si>
  <si>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</si>
  <si>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</si>
  <si>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</si>
  <si>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</si>
  <si>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</si>
  <si>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</si>
  <si>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</si>
  <si>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</si>
  <si>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</si>
  <si>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</si>
  <si>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</si>
  <si>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</si>
  <si>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</si>
  <si>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</si>
  <si>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</si>
  <si>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</si>
  <si>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</si>
  <si>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</si>
  <si>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Gross Profit Margin (%)</t>
  </si>
  <si>
    <t xml:space="preserve"> </t>
  </si>
  <si>
    <t>3-Statement Model</t>
  </si>
  <si>
    <t>Days in Period</t>
  </si>
  <si>
    <t>Key Assumptions</t>
  </si>
  <si>
    <t>Research and Development Expenses</t>
  </si>
  <si>
    <t>SG&amp;A Expenses</t>
  </si>
  <si>
    <t>Other Operating Income or Expenses</t>
  </si>
  <si>
    <t>-</t>
  </si>
  <si>
    <t xml:space="preserve"> -</t>
  </si>
  <si>
    <t>In Millions of US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</si>
</sst>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(#,##0\)_-;_-* &quot;-&quot;_-;_-@"/>
    <numFmt numFmtId="165" formatCode="0.0%"/>
    <numFmt numFmtId="166" formatCode="_(* #,##0_);_(* \(#,##0\);_(* &quot;-&quot;??_);_(@_)"/>
    <numFmt numFmtId="167" formatCode="_-* #,##0_-;\-* #,##0_-;_-* &quot;-&quot;??_-;_-@"/>
    <numFmt numFmtId="168" formatCode="0.0000_ ;\-0.0000\ "/>
    <numFmt numFmtId="169" formatCode="_(#,##0_)_%;\(#,##0\)_%;_(&quot;–&quot;_)_%;_(@_)_%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Arial Narrow"/>
      <family val="2"/>
    </font>
    <font>
      <i/>
      <sz val="12"/>
      <color theme="1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b/>
      <sz val="12"/>
      <color rgb="FF0000FF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1"/>
      <name val="Open Sans"/>
      <family val="2"/>
    </font>
    <font>
      <sz val="11"/>
      <color theme="1"/>
      <name val="Open Sans"/>
      <family val="2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sz val="10"/>
      <color theme="1"/>
      <name val="Open Sans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rgb="FF002060"/>
      <name val="Open Sans"/>
      <family val="2"/>
    </font>
    <font>
      <sz val="9"/>
      <color theme="1"/>
      <name val="Open Sans"/>
      <family val="2"/>
    </font>
    <font>
      <sz val="9"/>
      <color theme="1" tint="0.249977111117893"/>
      <name val="Open Sans"/>
      <family val="2"/>
    </font>
    <font>
      <i/>
      <sz val="10"/>
      <color theme="1"/>
      <name val="Arial Narrow"/>
      <family val="2"/>
    </font>
    <font>
      <b/>
      <sz val="20"/>
      <color rgb="FFC88800"/>
      <name val="Open Sans"/>
      <family val="2"/>
    </font>
    <font>
      <b/>
      <sz val="20"/>
      <color theme="9"/>
      <name val="Open Sans"/>
      <family val="2"/>
    </font>
    <font>
      <sz val="20"/>
      <color rgb="FF707000"/>
      <name val="Times New Roman"/>
      <family val="1"/>
    </font>
    <font>
      <sz val="8"/>
      <color theme="8" tint="-0.249977111117893"/>
      <name val="Arial Narrow"/>
      <family val="2"/>
    </font>
    <font>
      <sz val="12"/>
      <color theme="8" tint="-0.249977111117893"/>
      <name val="Arial Narrow"/>
      <family val="2"/>
    </font>
    <font>
      <b/>
      <sz val="14"/>
      <color theme="8" tint="-0.249977111117893"/>
      <name val="Arial Narrow"/>
      <family val="2"/>
    </font>
    <font>
      <sz val="11"/>
      <name val="Arial Narrow"/>
      <family val="2"/>
    </font>
    <font>
      <b/>
      <sz val="14"/>
      <color rgb="FF996633"/>
      <name val="Arial Narrow"/>
      <family val="2"/>
    </font>
    <font>
      <b/>
      <sz val="14"/>
      <color rgb="FF3271D2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E7F2FF"/>
        <bgColor rgb="FFED942D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8" tint="0.39997558519241921"/>
        <bgColor rgb="FF1E849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rgb="FF132E57"/>
      </patternFill>
    </fill>
    <fill>
      <patternFill patternType="solid">
        <fgColor rgb="FFCC6600"/>
        <bgColor rgb="FF132E57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59999389629810485"/>
        <bgColor rgb="FF00000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medium">
        <color rgb="FF000C3F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</borders>
  <cellStyleXfs count="5">
    <xf numFmtId="0" fontId="0" fillId="0" borderId="0"/>
    <xf numFmtId="0" fontId="1" fillId="0" borderId="5"/>
    <xf numFmtId="0" fontId="18" fillId="0" borderId="5" applyNumberFormat="0" applyFill="0" applyBorder="0" applyAlignment="0" applyProtection="0"/>
    <xf numFmtId="0" fontId="19" fillId="0" borderId="5"/>
    <xf numFmtId="0" fontId="18" fillId="0" borderId="5" applyNumberFormat="0" applyFill="0" applyBorder="0" applyAlignment="0" applyProtection="0"/>
  </cellStyleXfs>
  <cellXfs count="85">
    <xf numFmtId="0" fontId="0" fillId="0" borderId="0" xfId="0"/>
    <xf numFmtId="164" fontId="3" fillId="0" borderId="0" xfId="0" applyNumberFormat="1" applyFont="1"/>
    <xf numFmtId="164" fontId="6" fillId="0" borderId="0" xfId="0" applyNumberFormat="1" applyFont="1"/>
    <xf numFmtId="164" fontId="3" fillId="0" borderId="0" xfId="0" applyNumberFormat="1" applyFont="1" applyAlignment="1">
      <alignment horizontal="center"/>
    </xf>
    <xf numFmtId="164" fontId="8" fillId="0" borderId="0" xfId="0" applyNumberFormat="1" applyFont="1"/>
    <xf numFmtId="164" fontId="9" fillId="0" borderId="0" xfId="0" applyNumberFormat="1" applyFont="1"/>
    <xf numFmtId="164" fontId="3" fillId="0" borderId="2" xfId="0" applyNumberFormat="1" applyFont="1" applyBorder="1"/>
    <xf numFmtId="164" fontId="9" fillId="0" borderId="2" xfId="0" applyNumberFormat="1" applyFont="1" applyBorder="1"/>
    <xf numFmtId="164" fontId="9" fillId="0" borderId="2" xfId="0" applyNumberFormat="1" applyFont="1" applyBorder="1" applyAlignment="1">
      <alignment horizontal="center"/>
    </xf>
    <xf numFmtId="165" fontId="3" fillId="0" borderId="2" xfId="0" applyNumberFormat="1" applyFont="1" applyBorder="1"/>
    <xf numFmtId="165" fontId="8" fillId="0" borderId="2" xfId="0" applyNumberFormat="1" applyFont="1" applyBorder="1"/>
    <xf numFmtId="165" fontId="3" fillId="0" borderId="0" xfId="0" applyNumberFormat="1" applyFont="1"/>
    <xf numFmtId="165" fontId="8" fillId="0" borderId="0" xfId="0" applyNumberFormat="1" applyFont="1"/>
    <xf numFmtId="164" fontId="7" fillId="0" borderId="0" xfId="0" applyNumberFormat="1" applyFont="1"/>
    <xf numFmtId="164" fontId="7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10" fillId="0" borderId="0" xfId="0" applyNumberFormat="1" applyFont="1"/>
    <xf numFmtId="166" fontId="3" fillId="0" borderId="0" xfId="0" applyNumberFormat="1" applyFont="1"/>
    <xf numFmtId="9" fontId="10" fillId="0" borderId="0" xfId="0" applyNumberFormat="1" applyFont="1"/>
    <xf numFmtId="164" fontId="9" fillId="0" borderId="6" xfId="0" applyNumberFormat="1" applyFont="1" applyBorder="1"/>
    <xf numFmtId="164" fontId="9" fillId="0" borderId="6" xfId="0" applyNumberFormat="1" applyFont="1" applyBorder="1" applyAlignment="1">
      <alignment horizontal="center"/>
    </xf>
    <xf numFmtId="167" fontId="3" fillId="0" borderId="0" xfId="0" applyNumberFormat="1" applyFont="1"/>
    <xf numFmtId="164" fontId="9" fillId="0" borderId="7" xfId="0" applyNumberFormat="1" applyFont="1" applyBorder="1"/>
    <xf numFmtId="164" fontId="9" fillId="0" borderId="7" xfId="0" applyNumberFormat="1" applyFont="1" applyBorder="1" applyAlignment="1">
      <alignment horizontal="center"/>
    </xf>
    <xf numFmtId="168" fontId="7" fillId="0" borderId="0" xfId="0" applyNumberFormat="1" applyFont="1"/>
    <xf numFmtId="168" fontId="7" fillId="0" borderId="0" xfId="0" applyNumberFormat="1" applyFont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9" fontId="3" fillId="0" borderId="0" xfId="0" applyNumberFormat="1" applyFont="1"/>
    <xf numFmtId="0" fontId="14" fillId="0" borderId="14" xfId="1" applyFont="1" applyBorder="1"/>
    <xf numFmtId="0" fontId="14" fillId="0" borderId="5" xfId="1" applyFont="1"/>
    <xf numFmtId="0" fontId="14" fillId="0" borderId="13" xfId="1" applyFont="1" applyBorder="1"/>
    <xf numFmtId="0" fontId="15" fillId="0" borderId="5" xfId="1" applyFont="1" applyAlignment="1">
      <alignment horizontal="right"/>
    </xf>
    <xf numFmtId="0" fontId="14" fillId="0" borderId="5" xfId="1" applyFont="1" applyProtection="1">
      <protection locked="0"/>
    </xf>
    <xf numFmtId="0" fontId="16" fillId="0" borderId="5" xfId="1" applyFont="1"/>
    <xf numFmtId="0" fontId="17" fillId="0" borderId="5" xfId="1" applyFont="1"/>
    <xf numFmtId="0" fontId="19" fillId="0" borderId="5" xfId="3"/>
    <xf numFmtId="0" fontId="20" fillId="0" borderId="5" xfId="4" applyFont="1" applyFill="1" applyBorder="1" applyProtection="1">
      <protection locked="0"/>
    </xf>
    <xf numFmtId="0" fontId="2" fillId="3" borderId="1" xfId="0" applyFont="1" applyFill="1" applyBorder="1"/>
    <xf numFmtId="0" fontId="0" fillId="2" borderId="0" xfId="0" applyFill="1"/>
    <xf numFmtId="0" fontId="2" fillId="3" borderId="5" xfId="0" applyFont="1" applyFill="1" applyBorder="1"/>
    <xf numFmtId="0" fontId="21" fillId="0" borderId="14" xfId="1" applyFont="1" applyBorder="1"/>
    <xf numFmtId="0" fontId="21" fillId="0" borderId="13" xfId="1" applyFont="1" applyBorder="1"/>
    <xf numFmtId="169" fontId="22" fillId="4" borderId="5" xfId="1" applyNumberFormat="1" applyFont="1" applyFill="1"/>
    <xf numFmtId="0" fontId="22" fillId="4" borderId="5" xfId="1" applyFont="1" applyFill="1"/>
    <xf numFmtId="0" fontId="21" fillId="0" borderId="15" xfId="1" applyFont="1" applyBorder="1"/>
    <xf numFmtId="0" fontId="21" fillId="0" borderId="16" xfId="1" applyFont="1" applyBorder="1"/>
    <xf numFmtId="0" fontId="21" fillId="0" borderId="17" xfId="1" applyFont="1" applyBorder="1"/>
    <xf numFmtId="164" fontId="23" fillId="0" borderId="0" xfId="0" applyNumberFormat="1" applyFont="1"/>
    <xf numFmtId="164" fontId="23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right"/>
    </xf>
    <xf numFmtId="0" fontId="24" fillId="0" borderId="5" xfId="1" applyFont="1" applyProtection="1">
      <protection locked="0"/>
    </xf>
    <xf numFmtId="0" fontId="13" fillId="5" borderId="8" xfId="0" applyFont="1" applyFill="1" applyBorder="1"/>
    <xf numFmtId="0" fontId="13" fillId="5" borderId="9" xfId="0" applyFont="1" applyFill="1" applyBorder="1"/>
    <xf numFmtId="0" fontId="14" fillId="6" borderId="10" xfId="1" applyFont="1" applyFill="1" applyBorder="1"/>
    <xf numFmtId="0" fontId="14" fillId="6" borderId="11" xfId="1" applyFont="1" applyFill="1" applyBorder="1"/>
    <xf numFmtId="0" fontId="13" fillId="5" borderId="12" xfId="0" applyFont="1" applyFill="1" applyBorder="1"/>
    <xf numFmtId="0" fontId="13" fillId="5" borderId="0" xfId="0" applyFont="1" applyFill="1"/>
    <xf numFmtId="0" fontId="14" fillId="6" borderId="5" xfId="1" applyFont="1" applyFill="1"/>
    <xf numFmtId="0" fontId="14" fillId="6" borderId="13" xfId="1" applyFont="1" applyFill="1" applyBorder="1"/>
    <xf numFmtId="0" fontId="25" fillId="4" borderId="5" xfId="1" applyFont="1" applyFill="1"/>
    <xf numFmtId="169" fontId="26" fillId="4" borderId="5" xfId="1" applyNumberFormat="1" applyFont="1" applyFill="1"/>
    <xf numFmtId="0" fontId="12" fillId="7" borderId="1" xfId="0" applyFont="1" applyFill="1" applyBorder="1"/>
    <xf numFmtId="0" fontId="5" fillId="9" borderId="1" xfId="0" applyFont="1" applyFill="1" applyBorder="1"/>
    <xf numFmtId="164" fontId="27" fillId="10" borderId="1" xfId="0" applyNumberFormat="1" applyFont="1" applyFill="1" applyBorder="1"/>
    <xf numFmtId="164" fontId="28" fillId="10" borderId="1" xfId="0" applyNumberFormat="1" applyFont="1" applyFill="1" applyBorder="1"/>
    <xf numFmtId="164" fontId="28" fillId="10" borderId="1" xfId="0" applyNumberFormat="1" applyFont="1" applyFill="1" applyBorder="1" applyAlignment="1">
      <alignment horizontal="center"/>
    </xf>
    <xf numFmtId="164" fontId="29" fillId="10" borderId="1" xfId="0" applyNumberFormat="1" applyFont="1" applyFill="1" applyBorder="1"/>
    <xf numFmtId="164" fontId="29" fillId="10" borderId="1" xfId="0" applyNumberFormat="1" applyFont="1" applyFill="1" applyBorder="1" applyAlignment="1">
      <alignment horizontal="center"/>
    </xf>
    <xf numFmtId="10" fontId="3" fillId="0" borderId="0" xfId="0" applyNumberFormat="1" applyFont="1"/>
    <xf numFmtId="0" fontId="2" fillId="0" borderId="0" xfId="0" applyFont="1"/>
    <xf numFmtId="164" fontId="31" fillId="11" borderId="0" xfId="0" applyNumberFormat="1" applyFont="1" applyFill="1" applyAlignment="1">
      <alignment vertical="center"/>
    </xf>
    <xf numFmtId="0" fontId="32" fillId="11" borderId="0" xfId="0" applyFont="1" applyFill="1" applyAlignment="1">
      <alignment vertical="center"/>
    </xf>
    <xf numFmtId="0" fontId="31" fillId="11" borderId="0" xfId="0" applyFont="1" applyFill="1" applyAlignment="1">
      <alignment vertical="center"/>
    </xf>
    <xf numFmtId="164" fontId="2" fillId="0" borderId="0" xfId="0" applyNumberFormat="1" applyFont="1"/>
    <xf numFmtId="164" fontId="11" fillId="10" borderId="1" xfId="0" applyNumberFormat="1" applyFont="1" applyFill="1" applyBorder="1"/>
    <xf numFmtId="164" fontId="11" fillId="7" borderId="3" xfId="0" applyNumberFormat="1" applyFont="1" applyFill="1" applyBorder="1" applyAlignment="1">
      <alignment horizontal="center"/>
    </xf>
    <xf numFmtId="0" fontId="30" fillId="8" borderId="4" xfId="0" applyFont="1" applyFill="1" applyBorder="1"/>
    <xf numFmtId="0" fontId="30" fillId="8" borderId="5" xfId="0" applyFont="1" applyFill="1" applyBorder="1"/>
    <xf numFmtId="164" fontId="4" fillId="9" borderId="3" xfId="0" applyNumberFormat="1" applyFont="1" applyFill="1" applyBorder="1" applyAlignment="1">
      <alignment horizontal="center"/>
    </xf>
    <xf numFmtId="0" fontId="30" fillId="5" borderId="4" xfId="0" applyFont="1" applyFill="1" applyBorder="1"/>
    <xf numFmtId="0" fontId="30" fillId="5" borderId="5" xfId="0" applyFont="1" applyFill="1" applyBorder="1"/>
    <xf numFmtId="0" fontId="31" fillId="1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</cellXfs>
  <cellStyles count="5">
    <cellStyle name="Hyperlink 2" xfId="2" xr:uid="{30FD4205-4283-4A6A-A64B-284F31D794C7}"/>
    <cellStyle name="Hyperlink 2 2" xfId="4" xr:uid="{5A0AA4A2-96E2-4DCB-8D0F-2E73B6D49FE2}"/>
    <cellStyle name="Normal" xfId="0" builtinId="0"/>
    <cellStyle name="Normal 2" xfId="3" xr:uid="{34DC7261-9ACC-4036-8A8C-A03CE005F23F}"/>
    <cellStyle name="Normal 2 2 2" xfId="1" xr:uid="{E616C273-7B25-47FB-AA32-803AF9F46522}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colors>
    <mruColors>
      <color rgb="FF996633"/>
      <color rgb="FFCC6600"/>
      <color rgb="FF996600"/>
      <color rgb="FF382D08"/>
      <color rgb="FF000C3F"/>
      <color rgb="FFE7F2FF"/>
      <color rgb="FF3271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'Three Statement Model'!$A$110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3271D2"/>
            </a:solidFill>
            <a:ln cmpd="sng">
              <a:noFill/>
            </a:ln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Model'!$D$110:$M$110</c:f>
              <c:numCache>
                <c:formatCode>_-* #,##0_-;\(#,##0\)_-;_-* "-"_-;_-@</c:formatCode>
                <c:ptCount val="10"/>
                <c:pt idx="0">
                  <c:v>274515</c:v>
                </c:pt>
                <c:pt idx="1">
                  <c:v>365817</c:v>
                </c:pt>
                <c:pt idx="2">
                  <c:v>394328</c:v>
                </c:pt>
                <c:pt idx="3">
                  <c:v>383285</c:v>
                </c:pt>
                <c:pt idx="4">
                  <c:v>391035</c:v>
                </c:pt>
                <c:pt idx="5">
                  <c:v>430407.04903881822</c:v>
                </c:pt>
                <c:pt idx="6">
                  <c:v>473743.34231540316</c:v>
                </c:pt>
                <c:pt idx="7">
                  <c:v>521443.02675658028</c:v>
                </c:pt>
                <c:pt idx="8">
                  <c:v>573945.43810188153</c:v>
                </c:pt>
                <c:pt idx="9">
                  <c:v>631734.14738507429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'Three Statement Model'!$A$111</c:f>
              <c:strCache>
                <c:ptCount val="1"/>
                <c:pt idx="0">
                  <c:v> Gross Profit Margin (%)</c:v>
                </c:pt>
              </c:strCache>
            </c:strRef>
          </c:tx>
          <c:marker>
            <c:symbol val="none"/>
          </c:marker>
          <c:val>
            <c:numRef>
              <c:f>'Three Statement Model'!$D$111:$M$111</c:f>
              <c:numCache>
                <c:formatCode>0%</c:formatCode>
                <c:ptCount val="10"/>
                <c:pt idx="0">
                  <c:v>0.38233247727810865</c:v>
                </c:pt>
                <c:pt idx="1">
                  <c:v>0.41779359625167778</c:v>
                </c:pt>
                <c:pt idx="2">
                  <c:v>0.43309630561360085</c:v>
                </c:pt>
                <c:pt idx="3">
                  <c:v>0.44131129577207562</c:v>
                </c:pt>
                <c:pt idx="4">
                  <c:v>0.46206349815233932</c:v>
                </c:pt>
                <c:pt idx="5">
                  <c:v>0.42731943461356037</c:v>
                </c:pt>
                <c:pt idx="6">
                  <c:v>0.42731943461356037</c:v>
                </c:pt>
                <c:pt idx="7">
                  <c:v>0.42731943461356031</c:v>
                </c:pt>
                <c:pt idx="8">
                  <c:v>0.42731943461356037</c:v>
                </c:pt>
                <c:pt idx="9">
                  <c:v>0.42731943461356031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Cash Flow</a:t>
            </a:r>
          </a:p>
        </c:rich>
      </c:tx>
      <c:layout>
        <c:manualLayout>
          <c:xMode val="edge"/>
          <c:yMode val="edge"/>
          <c:x val="0.50641951006124231"/>
          <c:y val="9.05816120810985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stacked"/>
        <c:varyColors val="1"/>
        <c:ser>
          <c:idx val="1"/>
          <c:order val="0"/>
          <c:tx>
            <c:strRef>
              <c:f>'Three Statement Model'!$A$113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solidFill>
              <a:srgbClr val="3271D2"/>
            </a:solidFill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Model'!$D$113:$M$113</c:f>
              <c:numCache>
                <c:formatCode>_-* #,##0_-;\(#,##0\)_-;_-* "-"_-;_-@</c:formatCode>
                <c:ptCount val="10"/>
                <c:pt idx="0">
                  <c:v>79319</c:v>
                </c:pt>
                <c:pt idx="1">
                  <c:v>80871</c:v>
                </c:pt>
                <c:pt idx="2">
                  <c:v>101120</c:v>
                </c:pt>
                <c:pt idx="3">
                  <c:v>107097</c:v>
                </c:pt>
                <c:pt idx="4">
                  <c:v>94327</c:v>
                </c:pt>
                <c:pt idx="5">
                  <c:v>129621.90747395519</c:v>
                </c:pt>
                <c:pt idx="6">
                  <c:v>121443.98166154581</c:v>
                </c:pt>
                <c:pt idx="7">
                  <c:v>131978.18541956312</c:v>
                </c:pt>
                <c:pt idx="8">
                  <c:v>143763.15848959188</c:v>
                </c:pt>
                <c:pt idx="9">
                  <c:v>156872.9540259825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A2A8-47A9-A19A-FCBBB5D3D5A8}"/>
            </c:ext>
          </c:extLst>
        </c:ser>
        <c:ser>
          <c:idx val="0"/>
          <c:order val="1"/>
          <c:tx>
            <c:strRef>
              <c:f>'Three Statement Model'!$A$114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val>
            <c:numRef>
              <c:f>'Three Statement Model'!$D$114:$M$114</c:f>
              <c:numCache>
                <c:formatCode>_-* #,##0_-;\(#,##0\)_-;_-* "-"_-;_-@</c:formatCode>
                <c:ptCount val="10"/>
                <c:pt idx="0">
                  <c:v>-7309</c:v>
                </c:pt>
                <c:pt idx="1">
                  <c:v>-11085</c:v>
                </c:pt>
                <c:pt idx="2">
                  <c:v>-10708</c:v>
                </c:pt>
                <c:pt idx="3">
                  <c:v>-10959</c:v>
                </c:pt>
                <c:pt idx="4">
                  <c:v>-9447</c:v>
                </c:pt>
                <c:pt idx="5">
                  <c:v>-9901.6</c:v>
                </c:pt>
                <c:pt idx="6">
                  <c:v>-9901.6</c:v>
                </c:pt>
                <c:pt idx="7">
                  <c:v>-9901.6</c:v>
                </c:pt>
                <c:pt idx="8">
                  <c:v>-9901.6</c:v>
                </c:pt>
                <c:pt idx="9">
                  <c:v>-9901.6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A8-47A9-A19A-FCBBB5D3D5A8}"/>
            </c:ext>
          </c:extLst>
        </c:ser>
        <c:ser>
          <c:idx val="2"/>
          <c:order val="2"/>
          <c:tx>
            <c:strRef>
              <c:f>'Three Statement Model'!$A$115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val>
            <c:numRef>
              <c:f>'Three Statement Model'!$D$115:$M$115</c:f>
              <c:numCache>
                <c:formatCode>_-* #,##0_-;\(#,##0\)_-;_-* "-"_-;_-@</c:formatCode>
                <c:ptCount val="10"/>
                <c:pt idx="0">
                  <c:v>-69859</c:v>
                </c:pt>
                <c:pt idx="1">
                  <c:v>-73306</c:v>
                </c:pt>
                <c:pt idx="2">
                  <c:v>-89525</c:v>
                </c:pt>
                <c:pt idx="3">
                  <c:v>-87451</c:v>
                </c:pt>
                <c:pt idx="4">
                  <c:v>-100947</c:v>
                </c:pt>
                <c:pt idx="5">
                  <c:v>-84217.600000000006</c:v>
                </c:pt>
                <c:pt idx="6">
                  <c:v>-84217.600000000006</c:v>
                </c:pt>
                <c:pt idx="7">
                  <c:v>-84217.600000000006</c:v>
                </c:pt>
                <c:pt idx="8">
                  <c:v>-84217.600000000006</c:v>
                </c:pt>
                <c:pt idx="9">
                  <c:v>-84217.600000000006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8-47A9-A19A-FCBBB5D3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'Three Statement Model'!$A$110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3271D2"/>
            </a:solidFill>
            <a:ln cmpd="sng">
              <a:noFill/>
            </a:ln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Model'!$D$110:$M$110</c:f>
              <c:numCache>
                <c:formatCode>_-* #,##0_-;\(#,##0\)_-;_-* "-"_-;_-@</c:formatCode>
                <c:ptCount val="10"/>
                <c:pt idx="0">
                  <c:v>274515</c:v>
                </c:pt>
                <c:pt idx="1">
                  <c:v>365817</c:v>
                </c:pt>
                <c:pt idx="2">
                  <c:v>394328</c:v>
                </c:pt>
                <c:pt idx="3">
                  <c:v>383285</c:v>
                </c:pt>
                <c:pt idx="4">
                  <c:v>391035</c:v>
                </c:pt>
                <c:pt idx="5">
                  <c:v>430407.04903881822</c:v>
                </c:pt>
                <c:pt idx="6">
                  <c:v>473743.34231540316</c:v>
                </c:pt>
                <c:pt idx="7">
                  <c:v>521443.02675658028</c:v>
                </c:pt>
                <c:pt idx="8">
                  <c:v>573945.43810188153</c:v>
                </c:pt>
                <c:pt idx="9">
                  <c:v>631734.14738507429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42-4F89-840A-0AAC2CC75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'Three Statement Model'!$A$111</c:f>
              <c:strCache>
                <c:ptCount val="1"/>
                <c:pt idx="0">
                  <c:v> Gross Profit Margin (%)</c:v>
                </c:pt>
              </c:strCache>
            </c:strRef>
          </c:tx>
          <c:marker>
            <c:symbol val="none"/>
          </c:marker>
          <c:val>
            <c:numRef>
              <c:f>'Three Statement Model'!$D$111:$M$111</c:f>
              <c:numCache>
                <c:formatCode>0%</c:formatCode>
                <c:ptCount val="10"/>
                <c:pt idx="0">
                  <c:v>0.38233247727810865</c:v>
                </c:pt>
                <c:pt idx="1">
                  <c:v>0.41779359625167778</c:v>
                </c:pt>
                <c:pt idx="2">
                  <c:v>0.43309630561360085</c:v>
                </c:pt>
                <c:pt idx="3">
                  <c:v>0.44131129577207562</c:v>
                </c:pt>
                <c:pt idx="4">
                  <c:v>0.46206349815233932</c:v>
                </c:pt>
                <c:pt idx="5">
                  <c:v>0.42731943461356037</c:v>
                </c:pt>
                <c:pt idx="6">
                  <c:v>0.42731943461356037</c:v>
                </c:pt>
                <c:pt idx="7">
                  <c:v>0.42731943461356031</c:v>
                </c:pt>
                <c:pt idx="8">
                  <c:v>0.42731943461356037</c:v>
                </c:pt>
                <c:pt idx="9">
                  <c:v>0.42731943461356031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42-4F89-840A-0AAC2CC75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Millions of US $</a:t>
                </a:r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Cash Flow</a:t>
            </a:r>
          </a:p>
        </c:rich>
      </c:tx>
      <c:layout>
        <c:manualLayout>
          <c:xMode val="edge"/>
          <c:yMode val="edge"/>
          <c:x val="0.50641951006124231"/>
          <c:y val="9.05816120810985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stacked"/>
        <c:varyColors val="1"/>
        <c:ser>
          <c:idx val="1"/>
          <c:order val="0"/>
          <c:tx>
            <c:strRef>
              <c:f>'Three Statement Model'!$A$113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solidFill>
              <a:srgbClr val="3271D2"/>
            </a:solidFill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Model'!$D$113:$M$113</c:f>
              <c:numCache>
                <c:formatCode>_-* #,##0_-;\(#,##0\)_-;_-* "-"_-;_-@</c:formatCode>
                <c:ptCount val="10"/>
                <c:pt idx="0">
                  <c:v>79319</c:v>
                </c:pt>
                <c:pt idx="1">
                  <c:v>80871</c:v>
                </c:pt>
                <c:pt idx="2">
                  <c:v>101120</c:v>
                </c:pt>
                <c:pt idx="3">
                  <c:v>107097</c:v>
                </c:pt>
                <c:pt idx="4">
                  <c:v>94327</c:v>
                </c:pt>
                <c:pt idx="5">
                  <c:v>129621.90747395519</c:v>
                </c:pt>
                <c:pt idx="6">
                  <c:v>121443.98166154581</c:v>
                </c:pt>
                <c:pt idx="7">
                  <c:v>131978.18541956312</c:v>
                </c:pt>
                <c:pt idx="8">
                  <c:v>143763.15848959188</c:v>
                </c:pt>
                <c:pt idx="9">
                  <c:v>156872.9540259825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798-4DE2-B236-5CA5F69E14F9}"/>
            </c:ext>
          </c:extLst>
        </c:ser>
        <c:ser>
          <c:idx val="0"/>
          <c:order val="1"/>
          <c:tx>
            <c:strRef>
              <c:f>'Three Statement Model'!$A$114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val>
            <c:numRef>
              <c:f>'Three Statement Model'!$D$114:$M$114</c:f>
              <c:numCache>
                <c:formatCode>_-* #,##0_-;\(#,##0\)_-;_-* "-"_-;_-@</c:formatCode>
                <c:ptCount val="10"/>
                <c:pt idx="0">
                  <c:v>-7309</c:v>
                </c:pt>
                <c:pt idx="1">
                  <c:v>-11085</c:v>
                </c:pt>
                <c:pt idx="2">
                  <c:v>-10708</c:v>
                </c:pt>
                <c:pt idx="3">
                  <c:v>-10959</c:v>
                </c:pt>
                <c:pt idx="4">
                  <c:v>-9447</c:v>
                </c:pt>
                <c:pt idx="5">
                  <c:v>-9901.6</c:v>
                </c:pt>
                <c:pt idx="6">
                  <c:v>-9901.6</c:v>
                </c:pt>
                <c:pt idx="7">
                  <c:v>-9901.6</c:v>
                </c:pt>
                <c:pt idx="8">
                  <c:v>-9901.6</c:v>
                </c:pt>
                <c:pt idx="9">
                  <c:v>-9901.6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98-4DE2-B236-5CA5F69E14F9}"/>
            </c:ext>
          </c:extLst>
        </c:ser>
        <c:ser>
          <c:idx val="2"/>
          <c:order val="2"/>
          <c:tx>
            <c:strRef>
              <c:f>'Three Statement Model'!$A$115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val>
            <c:numRef>
              <c:f>'Three Statement Model'!$D$115:$M$115</c:f>
              <c:numCache>
                <c:formatCode>_-* #,##0_-;\(#,##0\)_-;_-* "-"_-;_-@</c:formatCode>
                <c:ptCount val="10"/>
                <c:pt idx="0">
                  <c:v>-69859</c:v>
                </c:pt>
                <c:pt idx="1">
                  <c:v>-73306</c:v>
                </c:pt>
                <c:pt idx="2">
                  <c:v>-89525</c:v>
                </c:pt>
                <c:pt idx="3">
                  <c:v>-87451</c:v>
                </c:pt>
                <c:pt idx="4">
                  <c:v>-100947</c:v>
                </c:pt>
                <c:pt idx="5">
                  <c:v>-84217.600000000006</c:v>
                </c:pt>
                <c:pt idx="6">
                  <c:v>-84217.600000000006</c:v>
                </c:pt>
                <c:pt idx="7">
                  <c:v>-84217.600000000006</c:v>
                </c:pt>
                <c:pt idx="8">
                  <c:v>-84217.600000000006</c:v>
                </c:pt>
                <c:pt idx="9">
                  <c:v>-84217.600000000006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98-4DE2-B236-5CA5F69E1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616527</xdr:colOff>
      <xdr:row>17</xdr:row>
      <xdr:rowOff>83127</xdr:rowOff>
    </xdr:from>
    <xdr:to>
      <xdr:col>3</xdr:col>
      <xdr:colOff>3075710</xdr:colOff>
      <xdr:row>25</xdr:row>
      <xdr:rowOff>103909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EA14B0-DE79-D4E4-51BF-75B9E31B6B20}"/>
            </a:ext>
          </a:extLst>
        </xdr:cNvPr>
        <xdr:cNvSpPr/>
      </xdr:nvSpPr>
      <xdr:spPr>
        <a:xfrm>
          <a:off x="1239982" y="4329545"/>
          <a:ext cx="4461164" cy="147550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accent5">
                  <a:lumMod val="50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Hilal Berhe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134937</xdr:colOff>
      <xdr:row>116</xdr:row>
      <xdr:rowOff>165099</xdr:rowOff>
    </xdr:from>
    <xdr:ext cx="4371975" cy="2628900"/>
    <xdr:graphicFrame macro="">
      <xdr:nvGraphicFramePr>
        <xdr:cNvPr id="1284321847" name="Chart 1">
          <a:extLst>
            <a:ext uri="{FF2B5EF4-FFF2-40B4-BE49-F238E27FC236}">
              <a16:creationId xmlns:a16="http://schemas.microsoft.com/office/drawing/2014/main" id="{00000000-0008-0000-0100-000037328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552450</xdr:colOff>
      <xdr:row>116</xdr:row>
      <xdr:rowOff>190500</xdr:rowOff>
    </xdr:from>
    <xdr:ext cx="5486400" cy="2628900"/>
    <xdr:graphicFrame macro="">
      <xdr:nvGraphicFramePr>
        <xdr:cNvPr id="1536027679" name="Chart 2">
          <a:extLst>
            <a:ext uri="{FF2B5EF4-FFF2-40B4-BE49-F238E27FC236}">
              <a16:creationId xmlns:a16="http://schemas.microsoft.com/office/drawing/2014/main" id="{00000000-0008-0000-0100-00001FEC8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134937</xdr:colOff>
      <xdr:row>116</xdr:row>
      <xdr:rowOff>165099</xdr:rowOff>
    </xdr:from>
    <xdr:ext cx="4371975" cy="26289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31834B8-556C-4CA7-89A6-616D387FF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552450</xdr:colOff>
      <xdr:row>116</xdr:row>
      <xdr:rowOff>190500</xdr:rowOff>
    </xdr:from>
    <xdr:ext cx="5486400" cy="26289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EA2FF429-B9ED-4C4F-ACA2-EB93BF9EE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E6E7E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topLeftCell="A8" zoomScale="110" zoomScaleNormal="110" workbookViewId="0">
      <selection activeCell="H24" sqref="H24"/>
    </sheetView>
  </sheetViews>
  <sheetFormatPr defaultColWidth="14.44140625" defaultRowHeight="15" customHeight="1" x14ac:dyDescent="0.3"/>
  <cols>
    <col min="1" max="2" width="9.109375" style="39" customWidth="1"/>
    <col min="3" max="3" width="20.109375" style="39" customWidth="1"/>
    <col min="4" max="4" width="51.88671875" style="39" customWidth="1"/>
    <col min="5" max="5" width="12" style="39" customWidth="1"/>
    <col min="6" max="6" width="16.44140625" style="39" customWidth="1"/>
    <col min="7" max="7" width="12.109375" style="39" customWidth="1"/>
    <col min="8" max="8" width="13.33203125" style="39" customWidth="1"/>
    <col min="9" max="11" width="9.109375" style="39" customWidth="1"/>
    <col min="12" max="16384" width="14.44140625" style="39"/>
  </cols>
  <sheetData>
    <row r="1" spans="1:11" ht="19.5" customHeight="1" thickBot="1" x14ac:dyDescent="0.3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19.5" customHeight="1" thickTop="1" x14ac:dyDescent="0.35">
      <c r="A2" s="38"/>
      <c r="B2" s="52"/>
      <c r="C2" s="53"/>
      <c r="D2" s="53"/>
      <c r="E2" s="53"/>
      <c r="F2" s="53"/>
      <c r="G2" s="54"/>
      <c r="H2" s="55"/>
      <c r="I2" s="38"/>
      <c r="J2" s="38"/>
      <c r="K2" s="38"/>
    </row>
    <row r="3" spans="1:11" ht="19.5" customHeight="1" x14ac:dyDescent="0.35">
      <c r="A3" s="38"/>
      <c r="B3" s="56"/>
      <c r="C3" s="57"/>
      <c r="D3" s="57"/>
      <c r="E3" s="57"/>
      <c r="F3" s="57"/>
      <c r="G3" s="58"/>
      <c r="H3" s="59"/>
      <c r="I3" s="38"/>
      <c r="J3" s="38"/>
      <c r="K3" s="38"/>
    </row>
    <row r="4" spans="1:11" ht="19.5" customHeight="1" x14ac:dyDescent="0.35">
      <c r="A4" s="38"/>
      <c r="B4" s="56"/>
      <c r="C4" s="57"/>
      <c r="D4" s="57"/>
      <c r="E4" s="57"/>
      <c r="F4" s="57"/>
      <c r="G4" s="58"/>
      <c r="H4" s="59"/>
      <c r="I4" s="38"/>
      <c r="J4" s="38"/>
      <c r="K4" s="38"/>
    </row>
    <row r="5" spans="1:11" ht="19.5" customHeight="1" x14ac:dyDescent="0.35">
      <c r="A5" s="38"/>
      <c r="B5" s="56"/>
      <c r="C5" s="57"/>
      <c r="D5" s="57"/>
      <c r="E5" s="57"/>
      <c r="F5" s="57"/>
      <c r="G5" s="58"/>
      <c r="H5" s="59"/>
      <c r="I5" s="38"/>
      <c r="J5" s="38"/>
      <c r="K5" s="38"/>
    </row>
    <row r="6" spans="1:11" ht="19.5" customHeight="1" x14ac:dyDescent="0.35">
      <c r="A6" s="38"/>
      <c r="B6" s="56"/>
      <c r="C6" s="57"/>
      <c r="D6" s="57"/>
      <c r="E6" s="57"/>
      <c r="F6" s="57"/>
      <c r="G6" s="58"/>
      <c r="H6" s="59"/>
      <c r="I6" s="38"/>
      <c r="J6" s="38"/>
      <c r="K6" s="38"/>
    </row>
    <row r="7" spans="1:11" ht="19.5" customHeight="1" x14ac:dyDescent="0.35">
      <c r="A7" s="38"/>
      <c r="B7" s="56"/>
      <c r="C7" s="57"/>
      <c r="D7" s="57"/>
      <c r="E7" s="57"/>
      <c r="F7" s="57"/>
      <c r="G7" s="58"/>
      <c r="H7" s="59"/>
      <c r="I7" s="38"/>
      <c r="J7" s="38"/>
      <c r="K7" s="38"/>
    </row>
    <row r="8" spans="1:11" ht="19.5" customHeight="1" x14ac:dyDescent="0.35">
      <c r="A8" s="38"/>
      <c r="B8" s="56"/>
      <c r="C8" s="57"/>
      <c r="D8" s="57"/>
      <c r="E8" s="57"/>
      <c r="F8" s="57"/>
      <c r="G8" s="58"/>
      <c r="H8" s="59"/>
      <c r="I8" s="38"/>
      <c r="J8" s="38"/>
      <c r="K8" s="38"/>
    </row>
    <row r="9" spans="1:11" ht="19.5" customHeight="1" x14ac:dyDescent="0.35">
      <c r="A9" s="38"/>
      <c r="B9" s="29"/>
      <c r="C9" s="30"/>
      <c r="D9" s="30"/>
      <c r="E9" s="30"/>
      <c r="F9" s="30"/>
      <c r="G9" s="30"/>
      <c r="H9" s="31"/>
      <c r="I9" s="38"/>
      <c r="J9" s="38"/>
      <c r="K9" s="38"/>
    </row>
    <row r="10" spans="1:11" ht="19.5" customHeight="1" x14ac:dyDescent="0.35">
      <c r="A10" s="38"/>
      <c r="B10" s="29"/>
      <c r="C10" s="33"/>
      <c r="D10" s="30"/>
      <c r="E10" s="34"/>
      <c r="F10" s="34"/>
      <c r="G10" s="30"/>
      <c r="H10" s="31"/>
      <c r="I10" s="38"/>
      <c r="J10" s="38"/>
      <c r="K10" s="38"/>
    </row>
    <row r="11" spans="1:11" ht="19.5" customHeight="1" x14ac:dyDescent="0.35">
      <c r="A11" s="38"/>
      <c r="B11" s="29"/>
      <c r="C11" s="33"/>
      <c r="D11" s="30"/>
      <c r="E11" s="34"/>
      <c r="F11" s="34"/>
      <c r="G11" s="30"/>
      <c r="H11" s="31"/>
      <c r="I11" s="38"/>
      <c r="J11" s="38"/>
      <c r="K11" s="38"/>
    </row>
    <row r="12" spans="1:11" ht="19.5" customHeight="1" x14ac:dyDescent="0.35">
      <c r="A12" s="38"/>
      <c r="B12" s="29"/>
      <c r="C12" s="33"/>
      <c r="D12" s="30"/>
      <c r="E12" s="34"/>
      <c r="F12" s="34"/>
      <c r="G12" s="30"/>
      <c r="H12" s="31"/>
      <c r="I12" s="38"/>
      <c r="J12" s="38"/>
      <c r="K12" s="38"/>
    </row>
    <row r="13" spans="1:11" ht="28.8" x14ac:dyDescent="0.65">
      <c r="A13" s="38"/>
      <c r="B13" s="29"/>
      <c r="C13" s="51" t="s">
        <v>72</v>
      </c>
      <c r="D13" s="30"/>
      <c r="E13" s="30"/>
      <c r="F13" s="30"/>
      <c r="G13" s="32"/>
      <c r="H13" s="31"/>
      <c r="I13" s="38"/>
      <c r="J13" s="38"/>
      <c r="K13" s="38"/>
    </row>
    <row r="14" spans="1:11" ht="19.5" customHeight="1" x14ac:dyDescent="0.35">
      <c r="A14" s="38"/>
      <c r="B14" s="29"/>
      <c r="C14" s="33"/>
      <c r="D14" s="30"/>
      <c r="E14" s="34"/>
      <c r="F14" s="34"/>
      <c r="G14" s="30"/>
      <c r="H14" s="31"/>
      <c r="I14" s="38"/>
      <c r="J14" s="38"/>
      <c r="K14" s="38"/>
    </row>
    <row r="15" spans="1:11" ht="19.5" customHeight="1" x14ac:dyDescent="0.35">
      <c r="A15" s="38"/>
      <c r="B15" s="29"/>
      <c r="C15" s="33"/>
      <c r="D15" s="30"/>
      <c r="E15" s="34"/>
      <c r="F15" s="34"/>
      <c r="G15" s="30"/>
      <c r="H15" s="31"/>
      <c r="I15" s="38"/>
      <c r="J15" s="38"/>
      <c r="K15" s="38"/>
    </row>
    <row r="16" spans="1:11" ht="19.5" customHeight="1" x14ac:dyDescent="0.35">
      <c r="A16" s="38"/>
      <c r="B16" s="29"/>
      <c r="C16" s="36"/>
      <c r="D16" s="35"/>
      <c r="E16" s="35"/>
      <c r="F16" s="35"/>
      <c r="G16" s="35"/>
      <c r="H16" s="31"/>
      <c r="I16" s="38"/>
      <c r="J16" s="38"/>
      <c r="K16" s="38"/>
    </row>
    <row r="17" spans="1:11" ht="19.5" customHeight="1" x14ac:dyDescent="0.35">
      <c r="A17" s="38"/>
      <c r="B17" s="29"/>
      <c r="C17" s="36"/>
      <c r="D17" s="35"/>
      <c r="E17" s="35"/>
      <c r="F17" s="35"/>
      <c r="G17" s="35"/>
      <c r="H17" s="31"/>
      <c r="I17" s="38"/>
      <c r="J17" s="38"/>
      <c r="K17" s="38"/>
    </row>
    <row r="18" spans="1:11" ht="19.5" customHeight="1" x14ac:dyDescent="0.35">
      <c r="A18" s="38"/>
      <c r="B18" s="29"/>
      <c r="C18" s="37"/>
      <c r="D18" s="35"/>
      <c r="E18" s="35"/>
      <c r="F18" s="35"/>
      <c r="G18" s="35"/>
      <c r="H18" s="31"/>
      <c r="I18" s="38"/>
      <c r="J18" s="38"/>
      <c r="K18" s="38"/>
    </row>
    <row r="19" spans="1:11" ht="14.25" customHeight="1" x14ac:dyDescent="0.65">
      <c r="A19" s="38"/>
      <c r="B19" s="41"/>
      <c r="C19" s="60"/>
      <c r="D19" s="44"/>
      <c r="E19" s="44"/>
      <c r="F19" s="44"/>
      <c r="G19" s="44"/>
      <c r="H19" s="42"/>
      <c r="I19" s="38"/>
      <c r="J19" s="38"/>
      <c r="K19" s="38"/>
    </row>
    <row r="20" spans="1:11" ht="14.25" customHeight="1" x14ac:dyDescent="0.3">
      <c r="A20" s="38"/>
      <c r="B20" s="41"/>
      <c r="C20" s="43"/>
      <c r="D20" s="44"/>
      <c r="E20" s="44"/>
      <c r="F20" s="44"/>
      <c r="G20" s="44"/>
      <c r="H20" s="42"/>
      <c r="I20" s="38"/>
      <c r="J20" s="38"/>
      <c r="K20" s="38"/>
    </row>
    <row r="21" spans="1:11" ht="14.25" customHeight="1" x14ac:dyDescent="0.3">
      <c r="A21" s="38"/>
      <c r="B21" s="41"/>
      <c r="C21" s="43"/>
      <c r="D21" s="44"/>
      <c r="E21" s="44"/>
      <c r="F21" s="44"/>
      <c r="G21" s="44"/>
      <c r="H21" s="42"/>
      <c r="I21" s="38"/>
      <c r="J21" s="38"/>
      <c r="K21" s="38"/>
    </row>
    <row r="22" spans="1:11" ht="14.25" customHeight="1" x14ac:dyDescent="0.3">
      <c r="A22" s="38"/>
      <c r="B22" s="41"/>
      <c r="C22" s="43"/>
      <c r="D22" s="44"/>
      <c r="E22" s="44"/>
      <c r="F22" s="44"/>
      <c r="G22" s="44"/>
      <c r="H22" s="42"/>
      <c r="I22" s="38"/>
      <c r="J22" s="38"/>
      <c r="K22" s="38"/>
    </row>
    <row r="23" spans="1:11" ht="14.25" customHeight="1" x14ac:dyDescent="0.45">
      <c r="A23" s="38"/>
      <c r="B23" s="41"/>
      <c r="C23" s="61"/>
      <c r="D23" s="44"/>
      <c r="E23" s="44"/>
      <c r="F23" s="44"/>
      <c r="G23" s="44"/>
      <c r="H23" s="42"/>
      <c r="I23" s="38"/>
      <c r="J23" s="38"/>
      <c r="K23" s="38"/>
    </row>
    <row r="24" spans="1:11" ht="14.25" customHeight="1" x14ac:dyDescent="0.3">
      <c r="A24" s="38"/>
      <c r="B24" s="41"/>
      <c r="C24" s="43"/>
      <c r="D24" s="44"/>
      <c r="E24" s="44"/>
      <c r="F24" s="44"/>
      <c r="G24" s="44"/>
      <c r="H24" s="42"/>
      <c r="I24" s="38"/>
      <c r="J24" s="38"/>
      <c r="K24" s="38"/>
    </row>
    <row r="25" spans="1:11" ht="14.25" customHeight="1" x14ac:dyDescent="0.3">
      <c r="A25" s="38"/>
      <c r="B25" s="41"/>
      <c r="C25" s="43"/>
      <c r="D25" s="44"/>
      <c r="E25" s="44"/>
      <c r="F25" s="44"/>
      <c r="G25" s="44"/>
      <c r="H25" s="42"/>
      <c r="I25" s="38"/>
      <c r="J25" s="38"/>
      <c r="K25" s="38"/>
    </row>
    <row r="26" spans="1:11" ht="14.25" customHeight="1" x14ac:dyDescent="0.3">
      <c r="A26" s="38"/>
      <c r="B26" s="41"/>
      <c r="C26" s="43"/>
      <c r="D26" s="44"/>
      <c r="E26" s="44"/>
      <c r="F26" s="44"/>
      <c r="G26" s="44"/>
      <c r="H26" s="42"/>
      <c r="I26" s="38"/>
      <c r="J26" s="38"/>
      <c r="K26" s="38"/>
    </row>
    <row r="27" spans="1:11" ht="14.25" customHeight="1" x14ac:dyDescent="0.3">
      <c r="A27" s="38"/>
      <c r="B27" s="41"/>
      <c r="C27" s="43"/>
      <c r="D27" s="44"/>
      <c r="E27" s="44"/>
      <c r="F27" s="44"/>
      <c r="G27" s="44"/>
      <c r="H27" s="42"/>
      <c r="I27" s="38"/>
      <c r="J27" s="38"/>
      <c r="K27" s="38"/>
    </row>
    <row r="28" spans="1:11" ht="14.25" customHeight="1" x14ac:dyDescent="0.3">
      <c r="A28" s="38"/>
      <c r="B28" s="41"/>
      <c r="C28" s="43"/>
      <c r="D28" s="44"/>
      <c r="E28" s="44"/>
      <c r="F28" s="44"/>
      <c r="G28" s="44"/>
      <c r="H28" s="42"/>
      <c r="I28" s="38"/>
      <c r="J28" s="38"/>
      <c r="K28" s="38"/>
    </row>
    <row r="29" spans="1:11" ht="14.25" customHeight="1" x14ac:dyDescent="0.3">
      <c r="A29" s="38"/>
      <c r="B29" s="41"/>
      <c r="C29" s="43"/>
      <c r="D29" s="44"/>
      <c r="E29" s="44"/>
      <c r="F29" s="44"/>
      <c r="G29" s="44"/>
      <c r="H29" s="42"/>
      <c r="I29" s="38"/>
      <c r="J29" s="38"/>
      <c r="K29" s="38"/>
    </row>
    <row r="30" spans="1:11" ht="19.5" customHeight="1" x14ac:dyDescent="0.3">
      <c r="A30" s="40"/>
      <c r="B30" s="41"/>
      <c r="C30" s="43"/>
      <c r="D30" s="44"/>
      <c r="E30" s="44"/>
      <c r="F30" s="44"/>
      <c r="G30" s="44"/>
      <c r="H30" s="42"/>
      <c r="I30" s="40"/>
      <c r="J30" s="40"/>
      <c r="K30" s="40"/>
    </row>
    <row r="31" spans="1:11" ht="19.5" customHeight="1" thickBot="1" x14ac:dyDescent="0.35">
      <c r="A31" s="38"/>
      <c r="B31" s="45"/>
      <c r="C31" s="46"/>
      <c r="D31" s="46"/>
      <c r="E31" s="46"/>
      <c r="F31" s="46"/>
      <c r="G31" s="46"/>
      <c r="H31" s="47" t="s">
        <v>71</v>
      </c>
      <c r="I31" s="38"/>
      <c r="J31" s="38"/>
      <c r="K31" s="38"/>
    </row>
    <row r="32" spans="1:11" ht="19.5" customHeight="1" thickTop="1" x14ac:dyDescent="0.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</row>
    <row r="33" spans="1:11" ht="19.5" customHeight="1" x14ac:dyDescent="0.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</row>
    <row r="34" spans="1:11" ht="19.5" customHeight="1" x14ac:dyDescent="0.3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</row>
    <row r="35" spans="1:11" ht="13.5" customHeight="1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</row>
    <row r="36" spans="1:11" ht="13.5" customHeight="1" x14ac:dyDescent="0.3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</row>
    <row r="37" spans="1:11" ht="13.5" customHeight="1" x14ac:dyDescent="0.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</row>
    <row r="38" spans="1:11" ht="13.5" customHeight="1" x14ac:dyDescent="0.3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</row>
    <row r="39" spans="1:11" ht="13.5" customHeight="1" x14ac:dyDescent="0.3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</row>
    <row r="40" spans="1:11" ht="13.5" customHeight="1" x14ac:dyDescent="0.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</row>
    <row r="41" spans="1:11" ht="13.5" customHeight="1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</row>
    <row r="42" spans="1:11" ht="13.5" customHeight="1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</row>
    <row r="43" spans="1:11" ht="13.5" customHeight="1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</row>
    <row r="44" spans="1:11" ht="13.5" customHeight="1" x14ac:dyDescent="0.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</row>
    <row r="45" spans="1:11" ht="13.5" customHeight="1" x14ac:dyDescent="0.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</row>
  </sheetData>
  <pageMargins left="0.7" right="0.7" top="0.75" bottom="0.75" header="0" footer="0"/>
  <pageSetup scale="9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zoomScale="120" zoomScaleNormal="120" workbookViewId="0">
      <selection activeCell="F77" sqref="F77"/>
    </sheetView>
  </sheetViews>
  <sheetFormatPr defaultColWidth="14.44140625" defaultRowHeight="15" customHeight="1" outlineLevelRow="1" x14ac:dyDescent="0.25"/>
  <cols>
    <col min="1" max="1" width="44.109375" style="70" bestFit="1" customWidth="1"/>
    <col min="2" max="2" width="12.44140625" style="70" customWidth="1"/>
    <col min="3" max="3" width="11.109375" style="70" customWidth="1"/>
    <col min="4" max="13" width="11.5546875" style="70" customWidth="1"/>
    <col min="14" max="26" width="9.109375" style="70" customWidth="1"/>
    <col min="27" max="16384" width="14.44140625" style="70"/>
  </cols>
  <sheetData>
    <row r="1" spans="1:26" ht="15.6" x14ac:dyDescent="0.3">
      <c r="A1" s="64"/>
      <c r="B1" s="65"/>
      <c r="C1" s="66"/>
      <c r="D1" s="76" t="s">
        <v>0</v>
      </c>
      <c r="E1" s="77"/>
      <c r="F1" s="77"/>
      <c r="G1" s="77"/>
      <c r="H1" s="78"/>
      <c r="I1" s="79" t="s">
        <v>1</v>
      </c>
      <c r="J1" s="80"/>
      <c r="K1" s="80"/>
      <c r="L1" s="80"/>
      <c r="M1" s="8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35">
      <c r="A2" s="75" t="s">
        <v>80</v>
      </c>
      <c r="B2" s="67"/>
      <c r="C2" s="68"/>
      <c r="D2" s="62">
        <v>2020</v>
      </c>
      <c r="E2" s="62">
        <f t="shared" ref="E2:M2" si="0">+D2+1</f>
        <v>2021</v>
      </c>
      <c r="F2" s="62">
        <f t="shared" si="0"/>
        <v>2022</v>
      </c>
      <c r="G2" s="62">
        <f t="shared" si="0"/>
        <v>2023</v>
      </c>
      <c r="H2" s="62">
        <f t="shared" si="0"/>
        <v>2024</v>
      </c>
      <c r="I2" s="63">
        <f t="shared" si="0"/>
        <v>2025</v>
      </c>
      <c r="J2" s="63">
        <f t="shared" si="0"/>
        <v>2026</v>
      </c>
      <c r="K2" s="63">
        <f t="shared" si="0"/>
        <v>2027</v>
      </c>
      <c r="L2" s="63">
        <f t="shared" si="0"/>
        <v>2028</v>
      </c>
      <c r="M2" s="63">
        <f t="shared" si="0"/>
        <v>2029</v>
      </c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48"/>
      <c r="B3" s="48"/>
      <c r="C3" s="49"/>
      <c r="D3" s="50"/>
      <c r="E3" s="50"/>
      <c r="F3" s="50"/>
      <c r="G3" s="50"/>
      <c r="H3" s="50"/>
      <c r="I3" s="50"/>
      <c r="J3" s="50"/>
      <c r="K3" s="50"/>
      <c r="L3" s="50"/>
      <c r="M3" s="5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3">
      <c r="A5" s="71" t="s">
        <v>2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outlineLevel="1" x14ac:dyDescent="0.3">
      <c r="A6" s="1"/>
      <c r="B6" s="1"/>
      <c r="C6" s="3"/>
      <c r="D6" s="1"/>
      <c r="E6" s="1"/>
      <c r="F6" s="1"/>
      <c r="G6" s="1"/>
      <c r="H6" s="1"/>
      <c r="I6" s="4"/>
      <c r="J6" s="4"/>
      <c r="K6" s="4"/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outlineLevel="1" x14ac:dyDescent="0.3">
      <c r="A7" s="5" t="s">
        <v>74</v>
      </c>
      <c r="B7" s="1"/>
      <c r="C7" s="3"/>
      <c r="D7" s="1"/>
      <c r="E7" s="1"/>
      <c r="F7" s="1"/>
      <c r="G7" s="1"/>
      <c r="H7" s="1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outlineLevel="1" x14ac:dyDescent="0.3">
      <c r="A8" s="6" t="s">
        <v>3</v>
      </c>
      <c r="B8" s="7"/>
      <c r="C8" s="8"/>
      <c r="D8" s="9">
        <f ca="1">-D8</f>
        <v>0</v>
      </c>
      <c r="E8" s="9">
        <f>(E26/D26-1)</f>
        <v>0.33259384733074704</v>
      </c>
      <c r="F8" s="9">
        <f>(F26/E26-1)</f>
        <v>7.7937876041846099E-2</v>
      </c>
      <c r="G8" s="9">
        <f t="shared" ref="G8:H8" si="1">(G26/F26-1)</f>
        <v>-2.800460530319937E-2</v>
      </c>
      <c r="H8" s="9">
        <f t="shared" si="1"/>
        <v>2.021994077514111E-2</v>
      </c>
      <c r="I8" s="10">
        <f>AVERAGE($E8:$H8)</f>
        <v>0.10068676471113372</v>
      </c>
      <c r="J8" s="10">
        <f>AVERAGE($E8:$H8)</f>
        <v>0.10068676471113372</v>
      </c>
      <c r="K8" s="10">
        <f t="shared" ref="K8:M8" si="2">AVERAGE($E8:$H8)</f>
        <v>0.10068676471113372</v>
      </c>
      <c r="L8" s="10">
        <f t="shared" si="2"/>
        <v>0.10068676471113372</v>
      </c>
      <c r="M8" s="10">
        <f t="shared" si="2"/>
        <v>0.10068676471113372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outlineLevel="1" x14ac:dyDescent="0.3">
      <c r="A9" s="1" t="s">
        <v>4</v>
      </c>
      <c r="B9" s="1"/>
      <c r="C9" s="3"/>
      <c r="D9" s="69">
        <f>(D27/D26)</f>
        <v>0.61766752272189129</v>
      </c>
      <c r="E9" s="69">
        <f t="shared" ref="E9:H9" si="3">(E27/E26)</f>
        <v>0.58220640374832222</v>
      </c>
      <c r="F9" s="69">
        <f t="shared" si="3"/>
        <v>0.56690369438639909</v>
      </c>
      <c r="G9" s="69">
        <f>(G27/G26)</f>
        <v>0.55868870422792438</v>
      </c>
      <c r="H9" s="69">
        <f t="shared" si="3"/>
        <v>0.53793650184766073</v>
      </c>
      <c r="I9" s="12">
        <f>AVERAGE($D9:$H9)</f>
        <v>0.57268056538643963</v>
      </c>
      <c r="J9" s="12">
        <f t="shared" ref="J9:M9" si="4">AVERAGE($D9:$H9)</f>
        <v>0.57268056538643963</v>
      </c>
      <c r="K9" s="12">
        <f t="shared" si="4"/>
        <v>0.57268056538643963</v>
      </c>
      <c r="L9" s="12">
        <f t="shared" si="4"/>
        <v>0.57268056538643963</v>
      </c>
      <c r="M9" s="12">
        <f t="shared" si="4"/>
        <v>0.57268056538643963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outlineLevel="1" x14ac:dyDescent="0.3">
      <c r="A10" s="1" t="s">
        <v>5</v>
      </c>
      <c r="B10" s="1"/>
      <c r="C10" s="3"/>
      <c r="D10" s="11" t="s">
        <v>78</v>
      </c>
      <c r="E10" s="11" t="s">
        <v>78</v>
      </c>
      <c r="F10" s="11" t="s">
        <v>78</v>
      </c>
      <c r="G10" s="11" t="s">
        <v>78</v>
      </c>
      <c r="H10" s="11" t="s">
        <v>78</v>
      </c>
      <c r="I10" s="11" t="s">
        <v>78</v>
      </c>
      <c r="J10" s="11" t="s">
        <v>78</v>
      </c>
      <c r="K10" s="11" t="s">
        <v>78</v>
      </c>
      <c r="L10" s="11" t="s">
        <v>78</v>
      </c>
      <c r="M10" s="11" t="s">
        <v>78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outlineLevel="1" x14ac:dyDescent="0.3">
      <c r="A11" s="1" t="s">
        <v>6</v>
      </c>
      <c r="B11" s="1"/>
      <c r="C11" s="3"/>
      <c r="D11" s="11" t="s">
        <v>78</v>
      </c>
      <c r="E11" s="11" t="s">
        <v>78</v>
      </c>
      <c r="F11" s="11" t="s">
        <v>78</v>
      </c>
      <c r="G11" s="11" t="s">
        <v>78</v>
      </c>
      <c r="H11" s="11" t="s">
        <v>78</v>
      </c>
      <c r="I11" s="11" t="s">
        <v>78</v>
      </c>
      <c r="J11" s="11" t="s">
        <v>78</v>
      </c>
      <c r="K11" s="11" t="s">
        <v>78</v>
      </c>
      <c r="L11" s="11" t="s">
        <v>78</v>
      </c>
      <c r="M11" s="11" t="s">
        <v>78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outlineLevel="1" x14ac:dyDescent="0.3">
      <c r="A12" s="1" t="s">
        <v>7</v>
      </c>
      <c r="B12" s="1"/>
      <c r="C12" s="3"/>
      <c r="D12" s="11">
        <f>(D66/D46)</f>
        <v>0.30071261491595497</v>
      </c>
      <c r="E12" s="11">
        <f>(E66/E46)</f>
        <v>0.28610547667342801</v>
      </c>
      <c r="F12" s="11">
        <f t="shared" ref="F12:H12" si="5">(F66/F46)</f>
        <v>0.26364650853574567</v>
      </c>
      <c r="G12" s="11">
        <f>(G66/G46)</f>
        <v>0.26350223035571313</v>
      </c>
      <c r="H12" s="11">
        <f t="shared" si="5"/>
        <v>0.25054728546409805</v>
      </c>
      <c r="I12" s="12">
        <f>AVERAGE($D12:$H12)</f>
        <v>0.27290282318898795</v>
      </c>
      <c r="J12" s="12">
        <f t="shared" ref="J12:M12" si="6">AVERAGE($D12:$H12)</f>
        <v>0.27290282318898795</v>
      </c>
      <c r="K12" s="12">
        <f t="shared" si="6"/>
        <v>0.27290282318898795</v>
      </c>
      <c r="L12" s="12">
        <f t="shared" si="6"/>
        <v>0.27290282318898795</v>
      </c>
      <c r="M12" s="12">
        <f t="shared" si="6"/>
        <v>0.27290282318898795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outlineLevel="1" x14ac:dyDescent="0.3">
      <c r="A13" s="1" t="s">
        <v>8</v>
      </c>
      <c r="B13" s="1"/>
      <c r="C13" s="3"/>
      <c r="D13" s="11">
        <f>-B3</f>
        <v>0</v>
      </c>
      <c r="E13" s="11" t="s">
        <v>78</v>
      </c>
      <c r="F13" s="11" t="s">
        <v>78</v>
      </c>
      <c r="G13" s="11" t="s">
        <v>78</v>
      </c>
      <c r="H13" s="11" t="s">
        <v>78</v>
      </c>
      <c r="I13" s="11" t="s">
        <v>78</v>
      </c>
      <c r="J13" s="11" t="s">
        <v>78</v>
      </c>
      <c r="K13" s="11" t="s">
        <v>78</v>
      </c>
      <c r="L13" s="11" t="s">
        <v>78</v>
      </c>
      <c r="M13" s="11" t="s">
        <v>78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outlineLevel="1" x14ac:dyDescent="0.3">
      <c r="A14" s="1" t="s">
        <v>9</v>
      </c>
      <c r="B14" s="13"/>
      <c r="C14" s="14"/>
      <c r="D14" s="11">
        <f>(D36/D34)</f>
        <v>0.14602944726043929</v>
      </c>
      <c r="E14" s="11">
        <f>(E36/E34)</f>
        <v>0.13333761668303518</v>
      </c>
      <c r="F14" s="11">
        <f>(F36/F34)</f>
        <v>0.16159146663094351</v>
      </c>
      <c r="G14" s="11">
        <f>(G36/G34)</f>
        <v>0.14646416041854401</v>
      </c>
      <c r="H14" s="11">
        <f>(H36/H34)</f>
        <v>0.24143780028567718</v>
      </c>
      <c r="I14" s="12">
        <f>(AVERAGE($D14:$H14))</f>
        <v>0.16577209825572783</v>
      </c>
      <c r="J14" s="12">
        <f t="shared" ref="J14:M14" si="7">(AVERAGE($D14:$H14))</f>
        <v>0.16577209825572783</v>
      </c>
      <c r="K14" s="12">
        <f t="shared" si="7"/>
        <v>0.16577209825572783</v>
      </c>
      <c r="L14" s="12">
        <f t="shared" si="7"/>
        <v>0.16577209825572783</v>
      </c>
      <c r="M14" s="12">
        <f t="shared" si="7"/>
        <v>0.16577209825572783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outlineLevel="1" x14ac:dyDescent="0.3">
      <c r="A15" s="1" t="s">
        <v>10</v>
      </c>
      <c r="B15" s="1"/>
      <c r="C15" s="15"/>
      <c r="D15" s="1">
        <f>(D44/D26)*365</f>
        <v>49.78753437881354</v>
      </c>
      <c r="E15" s="1">
        <f t="shared" ref="E15:H15" si="8">(E44/E26)*365</f>
        <v>51.390968708397914</v>
      </c>
      <c r="F15" s="1">
        <f t="shared" si="8"/>
        <v>56.400204905560855</v>
      </c>
      <c r="G15" s="1">
        <f>(G44/G26)*365</f>
        <v>58.075648668745188</v>
      </c>
      <c r="H15" s="1">
        <f t="shared" si="8"/>
        <v>61.832559745291348</v>
      </c>
      <c r="I15" s="4">
        <f>AVERAGE($D15:$H15)</f>
        <v>55.49738328136177</v>
      </c>
      <c r="J15" s="4">
        <f t="shared" ref="J15:M17" si="9">AVERAGE($D15:$H15)</f>
        <v>55.49738328136177</v>
      </c>
      <c r="K15" s="4">
        <f t="shared" si="9"/>
        <v>55.49738328136177</v>
      </c>
      <c r="L15" s="4">
        <f t="shared" si="9"/>
        <v>55.49738328136177</v>
      </c>
      <c r="M15" s="4">
        <f t="shared" si="9"/>
        <v>55.49738328136177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outlineLevel="1" x14ac:dyDescent="0.3">
      <c r="A16" s="1" t="s">
        <v>11</v>
      </c>
      <c r="B16" s="1"/>
      <c r="C16" s="15"/>
      <c r="D16" s="1">
        <f>(D45/D27)*365</f>
        <v>8.7418833562358831</v>
      </c>
      <c r="E16" s="1">
        <f t="shared" ref="E16:H16" si="10">(E45/E27)*365</f>
        <v>11.27659274770989</v>
      </c>
      <c r="F16" s="1">
        <f>(F45/F27)*365</f>
        <v>8.0756980666171607</v>
      </c>
      <c r="G16" s="1">
        <f t="shared" si="10"/>
        <v>10.791292490321617</v>
      </c>
      <c r="H16" s="1">
        <f t="shared" si="10"/>
        <v>12.642570548414087</v>
      </c>
      <c r="I16" s="4">
        <f>AVERAGE($D16:$H16)</f>
        <v>10.305607441859726</v>
      </c>
      <c r="J16" s="4">
        <f t="shared" si="9"/>
        <v>10.305607441859726</v>
      </c>
      <c r="K16" s="4">
        <f t="shared" si="9"/>
        <v>10.305607441859726</v>
      </c>
      <c r="L16" s="4">
        <f t="shared" si="9"/>
        <v>10.305607441859726</v>
      </c>
      <c r="M16" s="4">
        <f t="shared" si="9"/>
        <v>10.305607441859726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outlineLevel="1" x14ac:dyDescent="0.3">
      <c r="A17" s="1" t="s">
        <v>12</v>
      </c>
      <c r="B17" s="1"/>
      <c r="C17" s="15"/>
      <c r="D17" s="1">
        <f>(D50/D27)*365</f>
        <v>117.29751885774273</v>
      </c>
      <c r="E17" s="1">
        <f>(E50/E27)*365</f>
        <v>91.386672989609409</v>
      </c>
      <c r="F17" s="1">
        <f t="shared" ref="F17:H17" si="11">(F50/F27)*365</f>
        <v>80.237758671593326</v>
      </c>
      <c r="G17" s="1">
        <f t="shared" si="11"/>
        <v>84.96672690847447</v>
      </c>
      <c r="H17" s="1">
        <f t="shared" si="11"/>
        <v>79.624248878071043</v>
      </c>
      <c r="I17" s="4">
        <f>AVERAGE($D17:$H17)</f>
        <v>90.702585261098193</v>
      </c>
      <c r="J17" s="4">
        <f t="shared" si="9"/>
        <v>90.702585261098193</v>
      </c>
      <c r="K17" s="4">
        <f t="shared" si="9"/>
        <v>90.702585261098193</v>
      </c>
      <c r="L17" s="4">
        <f t="shared" si="9"/>
        <v>90.702585261098193</v>
      </c>
      <c r="M17" s="4">
        <f t="shared" si="9"/>
        <v>90.702585261098193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outlineLevel="1" x14ac:dyDescent="0.3">
      <c r="A18" s="1" t="s">
        <v>13</v>
      </c>
      <c r="B18" s="1"/>
      <c r="C18" s="3"/>
      <c r="D18" s="1">
        <f>ABS(D71)</f>
        <v>7309</v>
      </c>
      <c r="E18" s="1">
        <f t="shared" ref="E18:H18" si="12">ABS(E71)</f>
        <v>11085</v>
      </c>
      <c r="F18" s="1">
        <f t="shared" si="12"/>
        <v>10708</v>
      </c>
      <c r="G18" s="1">
        <f t="shared" si="12"/>
        <v>10959</v>
      </c>
      <c r="H18" s="1">
        <f t="shared" si="12"/>
        <v>9447</v>
      </c>
      <c r="I18" s="4">
        <v>9901.6</v>
      </c>
      <c r="J18" s="4">
        <v>9901.6</v>
      </c>
      <c r="K18" s="4">
        <v>9901.6</v>
      </c>
      <c r="L18" s="4">
        <v>9901.6</v>
      </c>
      <c r="M18" s="4">
        <v>9901.6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outlineLevel="1" x14ac:dyDescent="0.3">
      <c r="A19" s="1" t="s">
        <v>14</v>
      </c>
      <c r="B19" s="1"/>
      <c r="C19" s="3"/>
      <c r="D19" s="1">
        <f>D75</f>
        <v>2499</v>
      </c>
      <c r="E19" s="1">
        <f t="shared" ref="E19:H19" si="13">E75</f>
        <v>12665</v>
      </c>
      <c r="F19" s="1">
        <f t="shared" si="13"/>
        <v>-123</v>
      </c>
      <c r="G19" s="1">
        <f t="shared" si="13"/>
        <v>-9901</v>
      </c>
      <c r="H19" s="1">
        <f t="shared" si="13"/>
        <v>-5998</v>
      </c>
      <c r="I19" s="4">
        <f>AVERAGE($D19:$H19)</f>
        <v>-171.6</v>
      </c>
      <c r="J19" s="4">
        <f t="shared" ref="J19:M20" si="14">AVERAGE($D19:$H19)</f>
        <v>-171.6</v>
      </c>
      <c r="K19" s="4">
        <f t="shared" si="14"/>
        <v>-171.6</v>
      </c>
      <c r="L19" s="4">
        <f t="shared" si="14"/>
        <v>-171.6</v>
      </c>
      <c r="M19" s="4">
        <f t="shared" si="14"/>
        <v>-171.6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outlineLevel="1" x14ac:dyDescent="0.3">
      <c r="A20" s="1" t="s">
        <v>15</v>
      </c>
      <c r="B20" s="1"/>
      <c r="C20" s="3"/>
      <c r="D20" s="1">
        <f>D76</f>
        <v>-72358</v>
      </c>
      <c r="E20" s="1">
        <f>E76</f>
        <v>-85971</v>
      </c>
      <c r="F20" s="1">
        <f t="shared" ref="F20:H20" si="15">F76</f>
        <v>-89402</v>
      </c>
      <c r="G20" s="1">
        <f t="shared" si="15"/>
        <v>-77550</v>
      </c>
      <c r="H20" s="1">
        <f t="shared" si="15"/>
        <v>-94949</v>
      </c>
      <c r="I20" s="4">
        <f>AVERAGE($D20:$H20)</f>
        <v>-84046</v>
      </c>
      <c r="J20" s="4">
        <f t="shared" si="14"/>
        <v>-84046</v>
      </c>
      <c r="K20" s="4">
        <f t="shared" si="14"/>
        <v>-84046</v>
      </c>
      <c r="L20" s="4">
        <f t="shared" si="14"/>
        <v>-84046</v>
      </c>
      <c r="M20" s="4">
        <f t="shared" si="14"/>
        <v>-84046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outlineLevel="1" x14ac:dyDescent="0.3">
      <c r="A21" s="1" t="s">
        <v>73</v>
      </c>
      <c r="B21" s="1"/>
      <c r="C21" s="3"/>
      <c r="D21" s="4">
        <v>365</v>
      </c>
      <c r="E21" s="4">
        <v>365</v>
      </c>
      <c r="F21" s="4">
        <v>365</v>
      </c>
      <c r="G21" s="4">
        <v>365</v>
      </c>
      <c r="H21" s="4">
        <v>365</v>
      </c>
      <c r="I21" s="4">
        <v>365</v>
      </c>
      <c r="J21" s="4">
        <v>365</v>
      </c>
      <c r="K21" s="4">
        <v>365</v>
      </c>
      <c r="L21" s="4">
        <v>365</v>
      </c>
      <c r="M21" s="4">
        <v>365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outlineLevel="1" x14ac:dyDescent="0.3">
      <c r="A22" s="1"/>
      <c r="B22" s="1"/>
      <c r="C22" s="3"/>
      <c r="D22" s="1"/>
      <c r="E22" s="1"/>
      <c r="F22" s="1"/>
      <c r="G22" s="1"/>
      <c r="H22" s="1"/>
      <c r="I22" s="4"/>
      <c r="J22" s="4"/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6" x14ac:dyDescent="0.3">
      <c r="A23" s="1"/>
      <c r="B23" s="1"/>
      <c r="C23" s="3"/>
      <c r="D23" s="1"/>
      <c r="E23" s="1"/>
      <c r="F23" s="1"/>
      <c r="G23" s="1"/>
      <c r="H23" s="1"/>
      <c r="I23" s="4"/>
      <c r="J23" s="4"/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x14ac:dyDescent="0.3">
      <c r="A24" s="73" t="s">
        <v>16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outlineLevel="1" x14ac:dyDescent="0.3">
      <c r="A25" s="5"/>
      <c r="B25" s="5"/>
      <c r="C25" s="16"/>
      <c r="D25" s="17"/>
      <c r="E25" s="17"/>
      <c r="F25" s="17"/>
      <c r="G25" s="17"/>
      <c r="H25" s="17"/>
      <c r="I25" s="5"/>
      <c r="J25" s="5"/>
      <c r="K25" s="5"/>
      <c r="L25" s="5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outlineLevel="1" x14ac:dyDescent="0.3">
      <c r="A26" s="5" t="s">
        <v>17</v>
      </c>
      <c r="B26" s="5"/>
      <c r="C26" s="16"/>
      <c r="D26" s="17">
        <v>274515</v>
      </c>
      <c r="E26" s="17">
        <v>365817</v>
      </c>
      <c r="F26" s="17">
        <v>394328</v>
      </c>
      <c r="G26" s="17">
        <v>383285</v>
      </c>
      <c r="H26" s="17">
        <v>391035</v>
      </c>
      <c r="I26" s="5">
        <f>H26*(1+I8)</f>
        <v>430407.04903881822</v>
      </c>
      <c r="J26" s="5">
        <f>I26*(1+J8)</f>
        <v>473743.34231540316</v>
      </c>
      <c r="K26" s="5">
        <f>J26*(1+K8)</f>
        <v>521443.02675658028</v>
      </c>
      <c r="L26" s="5">
        <f t="shared" ref="L26:M26" si="16">K26*(1+L8)</f>
        <v>573945.43810188153</v>
      </c>
      <c r="M26" s="5">
        <f t="shared" si="16"/>
        <v>631734.14738507429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outlineLevel="1" x14ac:dyDescent="0.3">
      <c r="A27" s="1" t="s">
        <v>18</v>
      </c>
      <c r="B27" s="1"/>
      <c r="C27" s="3"/>
      <c r="D27" s="4">
        <v>169559</v>
      </c>
      <c r="E27" s="4">
        <v>212981</v>
      </c>
      <c r="F27" s="4">
        <v>223546</v>
      </c>
      <c r="G27" s="4">
        <v>214137</v>
      </c>
      <c r="H27" s="4">
        <v>210352</v>
      </c>
      <c r="I27" s="18">
        <f>I26*I9</f>
        <v>246485.75218985946</v>
      </c>
      <c r="J27" s="18">
        <f t="shared" ref="J27:M27" si="17">J26*J9</f>
        <v>271303.60512524669</v>
      </c>
      <c r="K27" s="18">
        <f t="shared" si="17"/>
        <v>298620.28737977479</v>
      </c>
      <c r="L27" s="18">
        <f t="shared" si="17"/>
        <v>328687.39799315331</v>
      </c>
      <c r="M27" s="18">
        <f t="shared" si="17"/>
        <v>361781.86869840475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outlineLevel="1" x14ac:dyDescent="0.3">
      <c r="A28" s="7" t="s">
        <v>19</v>
      </c>
      <c r="B28" s="7"/>
      <c r="C28" s="8"/>
      <c r="D28" s="7">
        <v>104956</v>
      </c>
      <c r="E28" s="7">
        <v>152836</v>
      </c>
      <c r="F28" s="7">
        <v>170782</v>
      </c>
      <c r="G28" s="7">
        <v>169148</v>
      </c>
      <c r="H28" s="7">
        <v>180683</v>
      </c>
      <c r="I28" s="7">
        <f>I26-I27</f>
        <v>183921.29684895877</v>
      </c>
      <c r="J28" s="7">
        <f t="shared" ref="J28:M28" si="18">J26-J27</f>
        <v>202439.73719015648</v>
      </c>
      <c r="K28" s="7">
        <f>K26-K27</f>
        <v>222822.73937680549</v>
      </c>
      <c r="L28" s="7">
        <f t="shared" si="18"/>
        <v>245258.04010872822</v>
      </c>
      <c r="M28" s="7">
        <f t="shared" si="18"/>
        <v>269952.27868666954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outlineLevel="1" x14ac:dyDescent="0.3">
      <c r="A29" s="5" t="s">
        <v>20</v>
      </c>
      <c r="B29" s="5"/>
      <c r="C29" s="16"/>
      <c r="D29" s="19"/>
      <c r="E29" s="19"/>
      <c r="F29" s="19"/>
      <c r="G29" s="19"/>
      <c r="H29" s="19"/>
      <c r="I29" s="19"/>
      <c r="J29" s="19"/>
      <c r="K29" s="19"/>
      <c r="L29" s="5"/>
      <c r="M29" s="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outlineLevel="1" x14ac:dyDescent="0.3">
      <c r="A30" s="1" t="s">
        <v>75</v>
      </c>
      <c r="B30" s="1"/>
      <c r="C30" s="3"/>
      <c r="D30" s="4">
        <v>18752</v>
      </c>
      <c r="E30" s="4">
        <v>21914</v>
      </c>
      <c r="F30" s="4">
        <v>26251</v>
      </c>
      <c r="G30" s="4">
        <v>29915</v>
      </c>
      <c r="H30" s="4">
        <v>31370</v>
      </c>
      <c r="I30" s="1">
        <f>I26*(H30/H26)</f>
        <v>34528.543808988266</v>
      </c>
      <c r="J30" s="1">
        <f t="shared" ref="J30:K30" si="19">J26*(I30/I26)</f>
        <v>38005.111175301943</v>
      </c>
      <c r="K30" s="1">
        <f t="shared" si="19"/>
        <v>41831.722862030052</v>
      </c>
      <c r="L30" s="1">
        <f>L26*(K30/K26)</f>
        <v>46043.623699300631</v>
      </c>
      <c r="M30" s="1">
        <f>M26*(L30/L26)</f>
        <v>50679.6072051601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outlineLevel="1" x14ac:dyDescent="0.3">
      <c r="A31" s="1" t="s">
        <v>76</v>
      </c>
      <c r="B31" s="1"/>
      <c r="C31" s="3"/>
      <c r="D31" s="4">
        <v>19916</v>
      </c>
      <c r="E31" s="4">
        <v>21973</v>
      </c>
      <c r="F31" s="4">
        <v>25094</v>
      </c>
      <c r="G31" s="4">
        <v>24932</v>
      </c>
      <c r="H31" s="4">
        <v>26097</v>
      </c>
      <c r="I31" s="1">
        <f>I26*(H31/H26)</f>
        <v>28724.622498666457</v>
      </c>
      <c r="J31" s="1">
        <f t="shared" ref="J31:M31" si="20">J26*(I31/I26)</f>
        <v>31616.81180560583</v>
      </c>
      <c r="K31" s="1">
        <f t="shared" si="20"/>
        <v>34800.206296793061</v>
      </c>
      <c r="L31" s="1">
        <f t="shared" si="20"/>
        <v>38304.126480097184</v>
      </c>
      <c r="M31" s="1">
        <f t="shared" si="20"/>
        <v>42160.845050464239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outlineLevel="1" x14ac:dyDescent="0.3">
      <c r="A32" s="1" t="s">
        <v>77</v>
      </c>
      <c r="B32" s="1"/>
      <c r="C32" s="3"/>
      <c r="D32" s="4" t="s">
        <v>78</v>
      </c>
      <c r="E32" s="4" t="s">
        <v>78</v>
      </c>
      <c r="F32" s="4" t="s">
        <v>78</v>
      </c>
      <c r="G32" s="4" t="s">
        <v>78</v>
      </c>
      <c r="H32" s="4" t="s">
        <v>78</v>
      </c>
      <c r="I32" s="4" t="s">
        <v>78</v>
      </c>
      <c r="J32" s="4" t="s">
        <v>78</v>
      </c>
      <c r="K32" s="4" t="s">
        <v>78</v>
      </c>
      <c r="L32" s="4" t="s">
        <v>78</v>
      </c>
      <c r="M32" s="4" t="s">
        <v>78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outlineLevel="1" x14ac:dyDescent="0.3">
      <c r="A33" s="5" t="s">
        <v>21</v>
      </c>
      <c r="B33" s="1"/>
      <c r="C33" s="3"/>
      <c r="D33" s="5">
        <f>SUM(D30:D32)</f>
        <v>38668</v>
      </c>
      <c r="E33" s="5">
        <f>SUM(E30:E32)</f>
        <v>43887</v>
      </c>
      <c r="F33" s="5">
        <f>(F30+F31)</f>
        <v>51345</v>
      </c>
      <c r="G33" s="5">
        <v>54847</v>
      </c>
      <c r="H33" s="5">
        <v>57467</v>
      </c>
      <c r="I33" s="5">
        <f>SUM(I30:I32)</f>
        <v>63253.166307654727</v>
      </c>
      <c r="J33" s="5">
        <f t="shared" ref="J33:M33" si="21">SUM(J30:J32)</f>
        <v>69621.922980907781</v>
      </c>
      <c r="K33" s="5">
        <f t="shared" si="21"/>
        <v>76631.929158823114</v>
      </c>
      <c r="L33" s="5">
        <f>SUM(L30:L32)</f>
        <v>84347.750179397815</v>
      </c>
      <c r="M33" s="5">
        <f t="shared" si="21"/>
        <v>92840.452255624346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outlineLevel="1" x14ac:dyDescent="0.3">
      <c r="A34" s="7" t="s">
        <v>22</v>
      </c>
      <c r="B34" s="7"/>
      <c r="C34" s="8"/>
      <c r="D34" s="7">
        <v>66288</v>
      </c>
      <c r="E34" s="7">
        <v>108949</v>
      </c>
      <c r="F34" s="7">
        <v>119437</v>
      </c>
      <c r="G34" s="7">
        <v>114301</v>
      </c>
      <c r="H34" s="7">
        <v>123216</v>
      </c>
      <c r="I34" s="7">
        <f>I28-I33</f>
        <v>120668.13054130404</v>
      </c>
      <c r="J34" s="7">
        <f>J28-J33</f>
        <v>132817.8142092487</v>
      </c>
      <c r="K34" s="7">
        <f>K28-K33</f>
        <v>146190.81021798239</v>
      </c>
      <c r="L34" s="7">
        <f>L28-L33</f>
        <v>160910.28992933041</v>
      </c>
      <c r="M34" s="7">
        <f t="shared" ref="M34" si="22">M28-M33</f>
        <v>177111.82643104519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outlineLevel="1" x14ac:dyDescent="0.3">
      <c r="A35" s="5"/>
      <c r="B35" s="5"/>
      <c r="C35" s="16"/>
      <c r="D35" s="17"/>
      <c r="E35" s="17"/>
      <c r="F35" s="17"/>
      <c r="G35" s="17"/>
      <c r="H35" s="17"/>
      <c r="I35" s="5"/>
      <c r="J35" s="5"/>
      <c r="K35" s="5"/>
      <c r="L35" s="5"/>
      <c r="M35" s="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outlineLevel="1" x14ac:dyDescent="0.3">
      <c r="A36" s="1" t="s">
        <v>23</v>
      </c>
      <c r="B36" s="1"/>
      <c r="C36" s="3"/>
      <c r="D36" s="4">
        <v>9680</v>
      </c>
      <c r="E36" s="4">
        <v>14527</v>
      </c>
      <c r="F36" s="4">
        <v>19300</v>
      </c>
      <c r="G36" s="4">
        <v>16741</v>
      </c>
      <c r="H36" s="4">
        <v>29749</v>
      </c>
      <c r="I36" s="18">
        <f>I34*I14</f>
        <v>20003.409192428047</v>
      </c>
      <c r="J36" s="18">
        <f t="shared" ref="J36:M36" si="23">J34*J14</f>
        <v>22017.487747206578</v>
      </c>
      <c r="K36" s="18">
        <f t="shared" si="23"/>
        <v>24234.357355539836</v>
      </c>
      <c r="L36" s="18">
        <f t="shared" si="23"/>
        <v>26674.436392522613</v>
      </c>
      <c r="M36" s="18">
        <f t="shared" si="23"/>
        <v>29360.199093378636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2" outlineLevel="1" thickBot="1" x14ac:dyDescent="0.35">
      <c r="A37" s="20" t="s">
        <v>24</v>
      </c>
      <c r="B37" s="20"/>
      <c r="C37" s="21"/>
      <c r="D37" s="20">
        <v>57411</v>
      </c>
      <c r="E37" s="20">
        <v>94680</v>
      </c>
      <c r="F37" s="20">
        <v>99803</v>
      </c>
      <c r="G37" s="20">
        <v>96995</v>
      </c>
      <c r="H37" s="20">
        <v>93736</v>
      </c>
      <c r="I37" s="20">
        <f>I34-I36</f>
        <v>100664.72134887599</v>
      </c>
      <c r="J37" s="20">
        <f t="shared" ref="J37:M37" si="24">J34-J36</f>
        <v>110800.32646204211</v>
      </c>
      <c r="K37" s="20">
        <f t="shared" si="24"/>
        <v>121956.45286244256</v>
      </c>
      <c r="L37" s="20">
        <f t="shared" si="24"/>
        <v>134235.85353680779</v>
      </c>
      <c r="M37" s="20">
        <f t="shared" si="24"/>
        <v>147751.62733766655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2" outlineLevel="1" thickTop="1" x14ac:dyDescent="0.3">
      <c r="A38" s="1"/>
      <c r="B38" s="1"/>
      <c r="C38" s="3"/>
      <c r="D38" s="4"/>
      <c r="E38" s="4"/>
      <c r="F38" s="4"/>
      <c r="G38" s="4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 x14ac:dyDescent="0.3">
      <c r="A39" s="1"/>
      <c r="B39" s="1"/>
      <c r="C39" s="3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x14ac:dyDescent="0.3">
      <c r="A40" s="73" t="s">
        <v>25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 outlineLevel="1" x14ac:dyDescent="0.3">
      <c r="A41" s="1"/>
      <c r="B41" s="1"/>
      <c r="C41" s="3"/>
      <c r="D41" s="4"/>
      <c r="E41" s="4"/>
      <c r="F41" s="4"/>
      <c r="G41" s="4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outlineLevel="1" x14ac:dyDescent="0.3">
      <c r="A42" s="5" t="s">
        <v>26</v>
      </c>
      <c r="B42" s="1"/>
      <c r="C42" s="3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outlineLevel="1" x14ac:dyDescent="0.3">
      <c r="A43" s="1" t="s">
        <v>27</v>
      </c>
      <c r="B43" s="1"/>
      <c r="D43" s="4">
        <v>90943</v>
      </c>
      <c r="E43" s="4">
        <v>62639</v>
      </c>
      <c r="F43" s="4">
        <v>48304</v>
      </c>
      <c r="G43" s="4">
        <v>61555</v>
      </c>
      <c r="H43" s="4">
        <v>65171</v>
      </c>
      <c r="I43" s="1">
        <f>(I57-(I44+I45+I46))</f>
        <v>28777.70747395519</v>
      </c>
      <c r="J43" s="1">
        <f t="shared" ref="J43:L43" si="25">(J57-(J44+J45+J46))</f>
        <v>56102.48913550099</v>
      </c>
      <c r="K43" s="1">
        <f>(K57-(K44+K45+K46))</f>
        <v>93961.474555064138</v>
      </c>
      <c r="L43" s="1">
        <f t="shared" si="25"/>
        <v>143605.43304465598</v>
      </c>
      <c r="M43" s="1">
        <f>(M57-(M44+M45+M46))</f>
        <v>206359.18707063852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outlineLevel="1" x14ac:dyDescent="0.3">
      <c r="A44" s="1" t="s">
        <v>28</v>
      </c>
      <c r="B44" s="1"/>
      <c r="D44" s="4">
        <v>37445</v>
      </c>
      <c r="E44" s="4">
        <v>51506</v>
      </c>
      <c r="F44" s="4">
        <v>60932</v>
      </c>
      <c r="G44" s="4">
        <v>60985</v>
      </c>
      <c r="H44" s="4">
        <v>66243</v>
      </c>
      <c r="I44" s="22">
        <f>(I26/I21)*I15</f>
        <v>65442.369773992235</v>
      </c>
      <c r="J44" s="22">
        <f t="shared" ref="J44:M44" si="26">(J26/J21)*J15</f>
        <v>72031.550261565208</v>
      </c>
      <c r="K44" s="22">
        <f t="shared" si="26"/>
        <v>79284.174014529635</v>
      </c>
      <c r="L44" s="22">
        <f>(L26/L21)*L15</f>
        <v>87267.040988847177</v>
      </c>
      <c r="M44" s="22">
        <f t="shared" si="26"/>
        <v>96053.677011928085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outlineLevel="1" x14ac:dyDescent="0.3">
      <c r="A45" s="1" t="s">
        <v>29</v>
      </c>
      <c r="B45" s="1"/>
      <c r="D45" s="4">
        <v>4061</v>
      </c>
      <c r="E45" s="4">
        <v>6580</v>
      </c>
      <c r="F45" s="4">
        <v>4946</v>
      </c>
      <c r="G45" s="4">
        <v>6331</v>
      </c>
      <c r="H45" s="4">
        <v>7286</v>
      </c>
      <c r="I45" s="1">
        <f>(I27/I21)*I16</f>
        <v>6959.4120604937198</v>
      </c>
      <c r="J45" s="1">
        <f t="shared" ref="J45:L45" si="27">(J27/J21)*J16</f>
        <v>7660.1327451564794</v>
      </c>
      <c r="K45" s="1">
        <f t="shared" si="27"/>
        <v>8431.4067285241017</v>
      </c>
      <c r="L45" s="1">
        <f t="shared" si="27"/>
        <v>9280.337793982877</v>
      </c>
      <c r="M45" s="1">
        <f>(M27/M21)*M16</f>
        <v>10214.744981885475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outlineLevel="1" x14ac:dyDescent="0.3">
      <c r="A46" s="1" t="s">
        <v>30</v>
      </c>
      <c r="B46" s="1"/>
      <c r="C46" s="3"/>
      <c r="D46" s="4">
        <v>36766</v>
      </c>
      <c r="E46" s="4">
        <v>39440</v>
      </c>
      <c r="F46" s="4">
        <v>42117</v>
      </c>
      <c r="G46" s="4">
        <v>43715</v>
      </c>
      <c r="H46" s="4">
        <v>45680</v>
      </c>
      <c r="I46" s="1">
        <f>H46+I18-(H46*I12)</f>
        <v>43115.399036727031</v>
      </c>
      <c r="J46" s="1">
        <f t="shared" ref="J46:M46" si="28">I46+J18-(I46*J12)</f>
        <v>41250.684916684448</v>
      </c>
      <c r="K46" s="1">
        <f t="shared" si="28"/>
        <v>39894.856544441856</v>
      </c>
      <c r="L46" s="1">
        <f>K46+L18-(K46*L12)</f>
        <v>38909.037562744001</v>
      </c>
      <c r="M46" s="1">
        <f t="shared" si="28"/>
        <v>38192.251364304786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2" outlineLevel="1" thickBot="1" x14ac:dyDescent="0.35">
      <c r="A47" s="20" t="s">
        <v>31</v>
      </c>
      <c r="B47" s="20"/>
      <c r="C47" s="21"/>
      <c r="D47" s="20">
        <f t="shared" ref="D47:I47" si="29">SUM(D43:D46)</f>
        <v>169215</v>
      </c>
      <c r="E47" s="20">
        <f t="shared" si="29"/>
        <v>160165</v>
      </c>
      <c r="F47" s="20">
        <f t="shared" si="29"/>
        <v>156299</v>
      </c>
      <c r="G47" s="20">
        <f t="shared" si="29"/>
        <v>172586</v>
      </c>
      <c r="H47" s="20">
        <f t="shared" si="29"/>
        <v>184380</v>
      </c>
      <c r="I47" s="20">
        <f t="shared" si="29"/>
        <v>144294.88834516818</v>
      </c>
      <c r="J47" s="20">
        <f t="shared" ref="J47:M47" si="30">SUM(J43:J46)</f>
        <v>177044.8570589071</v>
      </c>
      <c r="K47" s="20">
        <f t="shared" si="30"/>
        <v>221571.91184255976</v>
      </c>
      <c r="L47" s="20">
        <f t="shared" si="30"/>
        <v>279061.84939023003</v>
      </c>
      <c r="M47" s="20">
        <f t="shared" si="30"/>
        <v>350819.86042875686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2" outlineLevel="1" thickTop="1" x14ac:dyDescent="0.3">
      <c r="A48" s="5"/>
      <c r="B48" s="5"/>
      <c r="C48" s="16"/>
      <c r="D48" s="17"/>
      <c r="E48" s="17"/>
      <c r="F48" s="17"/>
      <c r="G48" s="17"/>
      <c r="H48" s="17"/>
      <c r="I48" s="5"/>
      <c r="J48" s="5"/>
      <c r="K48" s="5"/>
      <c r="L48" s="5"/>
      <c r="M48" s="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outlineLevel="1" x14ac:dyDescent="0.3">
      <c r="A49" s="5" t="s">
        <v>32</v>
      </c>
      <c r="B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outlineLevel="1" x14ac:dyDescent="0.3">
      <c r="A50" s="1" t="s">
        <v>33</v>
      </c>
      <c r="B50" s="1"/>
      <c r="D50" s="74">
        <v>54490</v>
      </c>
      <c r="E50" s="74">
        <v>53325</v>
      </c>
      <c r="F50" s="74">
        <v>49142</v>
      </c>
      <c r="G50" s="74">
        <v>49848</v>
      </c>
      <c r="H50" s="74">
        <v>45888</v>
      </c>
      <c r="I50" s="1">
        <f>(I27/I21)*I17</f>
        <v>61251.766996292186</v>
      </c>
      <c r="J50" s="1">
        <f t="shared" ref="J50:L50" si="31">(J27/J21)*J17</f>
        <v>67419.009247989059</v>
      </c>
      <c r="K50" s="1">
        <f t="shared" si="31"/>
        <v>74207.211169199087</v>
      </c>
      <c r="L50" s="1">
        <f t="shared" si="31"/>
        <v>81678.895180061649</v>
      </c>
      <c r="M50" s="1">
        <f>(M27/M21)*M17</f>
        <v>89902.878880921882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outlineLevel="1" x14ac:dyDescent="0.3">
      <c r="A51" s="1" t="s">
        <v>34</v>
      </c>
      <c r="B51" s="1"/>
      <c r="C51" s="3"/>
      <c r="D51" s="4">
        <v>91807</v>
      </c>
      <c r="E51" s="4">
        <v>109106</v>
      </c>
      <c r="F51" s="4">
        <v>98959</v>
      </c>
      <c r="G51" s="4">
        <v>95281</v>
      </c>
      <c r="H51" s="4">
        <v>85750</v>
      </c>
      <c r="I51" s="1">
        <f>(H51+I19)</f>
        <v>85578.4</v>
      </c>
      <c r="J51" s="1">
        <f>(I51+J19)</f>
        <v>85406.799999999988</v>
      </c>
      <c r="K51" s="1">
        <f t="shared" ref="K51:L51" si="32">(J51+K19)</f>
        <v>85235.199999999983</v>
      </c>
      <c r="L51" s="1">
        <f t="shared" si="32"/>
        <v>85063.599999999977</v>
      </c>
      <c r="M51" s="1">
        <f>(L51+M19)</f>
        <v>84891.999999999971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outlineLevel="1" x14ac:dyDescent="0.3">
      <c r="A52" s="7" t="s">
        <v>35</v>
      </c>
      <c r="B52" s="7"/>
      <c r="C52" s="8"/>
      <c r="D52" s="7">
        <f t="shared" ref="D52:I52" si="33">SUM(D50:D51)</f>
        <v>146297</v>
      </c>
      <c r="E52" s="7">
        <f t="shared" si="33"/>
        <v>162431</v>
      </c>
      <c r="F52" s="7">
        <f t="shared" si="33"/>
        <v>148101</v>
      </c>
      <c r="G52" s="7">
        <f t="shared" si="33"/>
        <v>145129</v>
      </c>
      <c r="H52" s="7">
        <f t="shared" si="33"/>
        <v>131638</v>
      </c>
      <c r="I52" s="7">
        <f t="shared" si="33"/>
        <v>146830.16699629219</v>
      </c>
      <c r="J52" s="7">
        <f t="shared" ref="J52:M52" si="34">SUM(J50:J51)</f>
        <v>152825.80924798903</v>
      </c>
      <c r="K52" s="7">
        <f>SUM(K50:K51)</f>
        <v>159442.41116919907</v>
      </c>
      <c r="L52" s="7">
        <f t="shared" si="34"/>
        <v>166742.49518006161</v>
      </c>
      <c r="M52" s="7">
        <f t="shared" si="34"/>
        <v>174794.87888092187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outlineLevel="1" x14ac:dyDescent="0.3">
      <c r="A53" s="5" t="s">
        <v>36</v>
      </c>
      <c r="B53" s="1"/>
      <c r="C53" s="3"/>
      <c r="D53" s="4"/>
      <c r="E53" s="4"/>
      <c r="F53" s="4"/>
      <c r="G53" s="4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 outlineLevel="1" x14ac:dyDescent="0.3">
      <c r="A54" s="1" t="s">
        <v>37</v>
      </c>
      <c r="B54" s="1"/>
      <c r="C54" s="3"/>
      <c r="D54" s="4" t="s">
        <v>79</v>
      </c>
      <c r="E54" s="4" t="s">
        <v>79</v>
      </c>
      <c r="F54" s="4" t="s">
        <v>79</v>
      </c>
      <c r="G54" s="4" t="s">
        <v>79</v>
      </c>
      <c r="H54" s="4" t="s">
        <v>79</v>
      </c>
      <c r="I54" s="4" t="s">
        <v>79</v>
      </c>
      <c r="J54" s="4" t="s">
        <v>79</v>
      </c>
      <c r="K54" s="4" t="s">
        <v>79</v>
      </c>
      <c r="L54" s="4" t="s">
        <v>79</v>
      </c>
      <c r="M54" s="4" t="s">
        <v>79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outlineLevel="1" x14ac:dyDescent="0.3">
      <c r="A55" s="1" t="s">
        <v>38</v>
      </c>
      <c r="B55" s="1"/>
      <c r="C55" s="3"/>
      <c r="D55" s="4">
        <v>14966</v>
      </c>
      <c r="E55" s="4">
        <v>5562</v>
      </c>
      <c r="F55" s="4">
        <v>-3068</v>
      </c>
      <c r="G55" s="4">
        <v>-214</v>
      </c>
      <c r="H55" s="4">
        <v>-19154</v>
      </c>
      <c r="I55" s="1">
        <f>H55+I37+I20</f>
        <v>-2535.278651124012</v>
      </c>
      <c r="J55" s="1">
        <f>I55+J37+J20</f>
        <v>24219.047810918099</v>
      </c>
      <c r="K55" s="1">
        <f t="shared" ref="K55:L55" si="35">J55+K37+K20</f>
        <v>62129.500673360657</v>
      </c>
      <c r="L55" s="1">
        <f t="shared" si="35"/>
        <v>112319.35421016844</v>
      </c>
      <c r="M55" s="1">
        <f>(L55+M37)+M20</f>
        <v>176024.98154783499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outlineLevel="1" x14ac:dyDescent="0.3">
      <c r="A56" s="23" t="s">
        <v>36</v>
      </c>
      <c r="B56" s="23"/>
      <c r="C56" s="24"/>
      <c r="D56" s="23">
        <f>(D55)</f>
        <v>14966</v>
      </c>
      <c r="E56" s="23">
        <f>(E55)</f>
        <v>5562</v>
      </c>
      <c r="F56" s="23">
        <f>(F55)</f>
        <v>-3068</v>
      </c>
      <c r="G56" s="23">
        <f t="shared" ref="G56:H56" si="36">(G55)</f>
        <v>-214</v>
      </c>
      <c r="H56" s="23">
        <f t="shared" si="36"/>
        <v>-19154</v>
      </c>
      <c r="I56" s="23">
        <f>SUM(I55)</f>
        <v>-2535.278651124012</v>
      </c>
      <c r="J56" s="23">
        <f t="shared" ref="J56:M56" si="37">SUM(J55)</f>
        <v>24219.047810918099</v>
      </c>
      <c r="K56" s="23">
        <f t="shared" si="37"/>
        <v>62129.500673360657</v>
      </c>
      <c r="L56" s="23">
        <f t="shared" si="37"/>
        <v>112319.35421016844</v>
      </c>
      <c r="M56" s="23">
        <f t="shared" si="37"/>
        <v>176024.98154783499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2" outlineLevel="1" thickBot="1" x14ac:dyDescent="0.35">
      <c r="A57" s="20" t="s">
        <v>39</v>
      </c>
      <c r="B57" s="20"/>
      <c r="C57" s="21"/>
      <c r="D57" s="20">
        <f>(D56+D52)</f>
        <v>161263</v>
      </c>
      <c r="E57" s="20">
        <f t="shared" ref="E57:H57" si="38">(E56+E52)</f>
        <v>167993</v>
      </c>
      <c r="F57" s="20">
        <f t="shared" si="38"/>
        <v>145033</v>
      </c>
      <c r="G57" s="20">
        <f>(G56+G52)</f>
        <v>144915</v>
      </c>
      <c r="H57" s="20">
        <f t="shared" si="38"/>
        <v>112484</v>
      </c>
      <c r="I57" s="20">
        <f>I56+I52</f>
        <v>144294.88834516818</v>
      </c>
      <c r="J57" s="20">
        <f>J56+J52</f>
        <v>177044.85705890713</v>
      </c>
      <c r="K57" s="20">
        <f t="shared" ref="K57:M57" si="39">K56+K52</f>
        <v>221571.91184255973</v>
      </c>
      <c r="L57" s="20">
        <f t="shared" si="39"/>
        <v>279061.84939023003</v>
      </c>
      <c r="M57" s="20">
        <f t="shared" si="39"/>
        <v>350819.86042875686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2" outlineLevel="1" thickTop="1" x14ac:dyDescent="0.3">
      <c r="A58" s="1"/>
      <c r="B58" s="1"/>
      <c r="C58" s="3"/>
      <c r="D58" s="4"/>
      <c r="E58" s="4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outlineLevel="1" x14ac:dyDescent="0.3">
      <c r="A59" s="13"/>
      <c r="B59" s="25"/>
      <c r="C59" s="26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outlineLevel="1" x14ac:dyDescent="0.3">
      <c r="A60" s="25"/>
      <c r="B60" s="25"/>
      <c r="C60" s="26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x14ac:dyDescent="0.3">
      <c r="A61" s="1"/>
      <c r="B61" s="1"/>
      <c r="C61" s="3"/>
      <c r="D61" s="4"/>
      <c r="E61" s="4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x14ac:dyDescent="0.3">
      <c r="A62" s="73" t="s">
        <v>40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 outlineLevel="1" x14ac:dyDescent="0.3">
      <c r="A63" s="5"/>
      <c r="B63" s="1"/>
      <c r="C63" s="3"/>
      <c r="D63" s="17"/>
      <c r="E63" s="4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outlineLevel="1" x14ac:dyDescent="0.3">
      <c r="A64" s="5" t="s">
        <v>41</v>
      </c>
      <c r="B64" s="1"/>
      <c r="C64" s="3"/>
      <c r="D64" s="4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outlineLevel="1" x14ac:dyDescent="0.3">
      <c r="A65" s="1" t="s">
        <v>24</v>
      </c>
      <c r="B65" s="1"/>
      <c r="C65" s="3"/>
      <c r="D65" s="4">
        <v>57411</v>
      </c>
      <c r="E65" s="4">
        <v>94680</v>
      </c>
      <c r="F65" s="4">
        <v>99803</v>
      </c>
      <c r="G65" s="4">
        <v>96995</v>
      </c>
      <c r="H65" s="4">
        <v>93736</v>
      </c>
      <c r="I65" s="1">
        <f>I37</f>
        <v>100664.72134887599</v>
      </c>
      <c r="J65" s="1">
        <f t="shared" ref="J65:M65" si="40">J37</f>
        <v>110800.32646204211</v>
      </c>
      <c r="K65" s="1">
        <f t="shared" si="40"/>
        <v>121956.45286244256</v>
      </c>
      <c r="L65" s="1">
        <f t="shared" si="40"/>
        <v>134235.85353680779</v>
      </c>
      <c r="M65" s="1">
        <f t="shared" si="40"/>
        <v>147751.62733766655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outlineLevel="1" x14ac:dyDescent="0.3">
      <c r="A66" s="1" t="s">
        <v>42</v>
      </c>
      <c r="B66" s="1"/>
      <c r="C66" s="3"/>
      <c r="D66" s="4">
        <v>11056</v>
      </c>
      <c r="E66" s="4">
        <v>11284</v>
      </c>
      <c r="F66" s="4">
        <v>11104</v>
      </c>
      <c r="G66" s="4">
        <v>11519</v>
      </c>
      <c r="H66" s="4">
        <v>11445</v>
      </c>
      <c r="I66" s="1">
        <f>I12*H46</f>
        <v>12466.20096327297</v>
      </c>
      <c r="J66" s="1">
        <f t="shared" ref="J66:M66" si="41">J12*I46</f>
        <v>11766.314120042578</v>
      </c>
      <c r="K66" s="1">
        <f>K12*J46</f>
        <v>11257.428372242588</v>
      </c>
      <c r="L66" s="1">
        <f t="shared" si="41"/>
        <v>10887.418981697854</v>
      </c>
      <c r="M66" s="1">
        <f>M12*L46</f>
        <v>10618.386198439217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outlineLevel="1" x14ac:dyDescent="0.3">
      <c r="A67" s="1" t="s">
        <v>43</v>
      </c>
      <c r="B67" s="1"/>
      <c r="C67" s="3"/>
      <c r="D67" s="4">
        <f>(6917+(-127)-(-4062))</f>
        <v>10852</v>
      </c>
      <c r="E67" s="4">
        <f>((-10125)+(-2642)-(12326))</f>
        <v>-25093</v>
      </c>
      <c r="F67" s="4">
        <f>((-1823)+(1484)-(9448))</f>
        <v>-9787</v>
      </c>
      <c r="G67" s="4">
        <f>((-1688)+(-1618)-(-1889))</f>
        <v>-1417</v>
      </c>
      <c r="H67" s="4">
        <f>((-3788)+(-1046)-(6020))</f>
        <v>-10854</v>
      </c>
      <c r="I67" s="1">
        <f>(I44+I45-I50)-(H44+H45-H50)</f>
        <v>-16490.985161806231</v>
      </c>
      <c r="J67" s="1">
        <f>(J44+J45-J50)-(I44+I45-I50)</f>
        <v>1122.6589205388664</v>
      </c>
      <c r="K67" s="1">
        <f t="shared" ref="K67:M67" si="42">(K44+K45-K50)-(J44+J45-J50)</f>
        <v>1235.6958151220169</v>
      </c>
      <c r="L67" s="1">
        <f t="shared" si="42"/>
        <v>1360.1140289137547</v>
      </c>
      <c r="M67" s="1">
        <f t="shared" si="42"/>
        <v>1497.0595101232757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outlineLevel="1" x14ac:dyDescent="0.3">
      <c r="A68" s="7" t="s">
        <v>44</v>
      </c>
      <c r="B68" s="6"/>
      <c r="C68" s="27"/>
      <c r="D68" s="7">
        <f>SUM(D65:D67)</f>
        <v>79319</v>
      </c>
      <c r="E68" s="7">
        <f>SUM(E65:E67)</f>
        <v>80871</v>
      </c>
      <c r="F68" s="7">
        <f>SUM(F65:F67)</f>
        <v>101120</v>
      </c>
      <c r="G68" s="7">
        <f>SUM(G65:G67)</f>
        <v>107097</v>
      </c>
      <c r="H68" s="7">
        <f>SUM(H65:H67)</f>
        <v>94327</v>
      </c>
      <c r="I68" s="7">
        <f>(I65+I66-I67)</f>
        <v>129621.90747395519</v>
      </c>
      <c r="J68" s="7">
        <f>(J65+J66-J67)</f>
        <v>121443.98166154581</v>
      </c>
      <c r="K68" s="7">
        <f>(K65+K66-K67)</f>
        <v>131978.18541956312</v>
      </c>
      <c r="L68" s="7">
        <f>(L65+L66-L67)</f>
        <v>143763.15848959188</v>
      </c>
      <c r="M68" s="7">
        <f>(M65+M66-M67)</f>
        <v>156872.9540259825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outlineLevel="1" x14ac:dyDescent="0.3">
      <c r="A69" s="5"/>
      <c r="B69" s="1"/>
      <c r="C69" s="3"/>
      <c r="D69" s="17"/>
      <c r="E69" s="17"/>
      <c r="F69" s="17"/>
      <c r="G69" s="17"/>
      <c r="H69" s="17"/>
      <c r="I69" s="5"/>
      <c r="J69" s="5"/>
      <c r="K69" s="5"/>
      <c r="L69" s="5"/>
      <c r="M69" s="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outlineLevel="1" x14ac:dyDescent="0.3">
      <c r="A70" s="5" t="s">
        <v>45</v>
      </c>
      <c r="B70" s="1"/>
      <c r="C70" s="3"/>
      <c r="D70" s="4"/>
      <c r="E70" s="4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outlineLevel="1" x14ac:dyDescent="0.3">
      <c r="A71" s="1" t="s">
        <v>46</v>
      </c>
      <c r="B71" s="1"/>
      <c r="C71" s="3"/>
      <c r="D71" s="4">
        <v>-7309</v>
      </c>
      <c r="E71" s="4">
        <v>-11085</v>
      </c>
      <c r="F71" s="4">
        <v>-10708</v>
      </c>
      <c r="G71" s="4">
        <v>-10959</v>
      </c>
      <c r="H71" s="4">
        <v>-9447</v>
      </c>
      <c r="I71" s="1">
        <f>-(I18)</f>
        <v>-9901.6</v>
      </c>
      <c r="J71" s="1">
        <f t="shared" ref="J71:M71" si="43">-(J18)</f>
        <v>-9901.6</v>
      </c>
      <c r="K71" s="1">
        <f t="shared" si="43"/>
        <v>-9901.6</v>
      </c>
      <c r="L71" s="1">
        <f t="shared" si="43"/>
        <v>-9901.6</v>
      </c>
      <c r="M71" s="1">
        <f t="shared" si="43"/>
        <v>-9901.6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 outlineLevel="1" x14ac:dyDescent="0.3">
      <c r="A72" s="7" t="s">
        <v>47</v>
      </c>
      <c r="B72" s="6"/>
      <c r="C72" s="27"/>
      <c r="D72" s="7">
        <f>D71</f>
        <v>-7309</v>
      </c>
      <c r="E72" s="7">
        <f t="shared" ref="E72:H72" si="44">E71</f>
        <v>-11085</v>
      </c>
      <c r="F72" s="7">
        <f t="shared" si="44"/>
        <v>-10708</v>
      </c>
      <c r="G72" s="7">
        <f t="shared" si="44"/>
        <v>-10959</v>
      </c>
      <c r="H72" s="7">
        <f t="shared" si="44"/>
        <v>-9447</v>
      </c>
      <c r="I72" s="7">
        <f>I71</f>
        <v>-9901.6</v>
      </c>
      <c r="J72" s="7">
        <f t="shared" ref="J72:M72" si="45">J71</f>
        <v>-9901.6</v>
      </c>
      <c r="K72" s="7">
        <f t="shared" si="45"/>
        <v>-9901.6</v>
      </c>
      <c r="L72" s="7">
        <f t="shared" si="45"/>
        <v>-9901.6</v>
      </c>
      <c r="M72" s="7">
        <f t="shared" si="45"/>
        <v>-9901.6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outlineLevel="1" x14ac:dyDescent="0.3">
      <c r="A73" s="5"/>
      <c r="B73" s="1"/>
      <c r="C73" s="3"/>
      <c r="D73" s="17"/>
      <c r="E73" s="17"/>
      <c r="F73" s="17"/>
      <c r="G73" s="17"/>
      <c r="H73" s="17"/>
      <c r="I73" s="5"/>
      <c r="J73" s="5"/>
      <c r="K73" s="5"/>
      <c r="L73" s="5"/>
      <c r="M73" s="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outlineLevel="1" x14ac:dyDescent="0.3">
      <c r="A74" s="5" t="s">
        <v>48</v>
      </c>
      <c r="B74" s="1"/>
      <c r="C74" s="3"/>
      <c r="D74" s="4"/>
      <c r="E74" s="4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outlineLevel="1" x14ac:dyDescent="0.3">
      <c r="A75" s="1" t="s">
        <v>49</v>
      </c>
      <c r="B75" s="1"/>
      <c r="C75" s="3"/>
      <c r="D75" s="4">
        <v>2499</v>
      </c>
      <c r="E75" s="4">
        <v>12665</v>
      </c>
      <c r="F75" s="4">
        <v>-123</v>
      </c>
      <c r="G75" s="4">
        <v>-9901</v>
      </c>
      <c r="H75" s="4">
        <v>-5998</v>
      </c>
      <c r="I75" s="1">
        <f>I19</f>
        <v>-171.6</v>
      </c>
      <c r="J75" s="1">
        <f t="shared" ref="J75:M75" si="46">J19</f>
        <v>-171.6</v>
      </c>
      <c r="K75" s="1">
        <f t="shared" si="46"/>
        <v>-171.6</v>
      </c>
      <c r="L75" s="1">
        <f t="shared" si="46"/>
        <v>-171.6</v>
      </c>
      <c r="M75" s="1">
        <f t="shared" si="46"/>
        <v>-171.6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outlineLevel="1" x14ac:dyDescent="0.3">
      <c r="A76" s="1" t="s">
        <v>50</v>
      </c>
      <c r="B76" s="1"/>
      <c r="C76" s="3"/>
      <c r="D76" s="4">
        <v>-72358</v>
      </c>
      <c r="E76" s="4">
        <v>-85971</v>
      </c>
      <c r="F76" s="4">
        <v>-89402</v>
      </c>
      <c r="G76" s="4">
        <v>-77550</v>
      </c>
      <c r="H76" s="4">
        <v>-94949</v>
      </c>
      <c r="I76" s="1">
        <f>I20</f>
        <v>-84046</v>
      </c>
      <c r="J76" s="1">
        <f t="shared" ref="J76:M76" si="47">J20</f>
        <v>-84046</v>
      </c>
      <c r="K76" s="1">
        <f t="shared" si="47"/>
        <v>-84046</v>
      </c>
      <c r="L76" s="1">
        <f t="shared" si="47"/>
        <v>-84046</v>
      </c>
      <c r="M76" s="1">
        <f t="shared" si="47"/>
        <v>-84046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outlineLevel="1" x14ac:dyDescent="0.3">
      <c r="A77" s="7" t="s">
        <v>51</v>
      </c>
      <c r="B77" s="6"/>
      <c r="C77" s="27"/>
      <c r="D77" s="7">
        <f>SUM(D75:D76)</f>
        <v>-69859</v>
      </c>
      <c r="E77" s="7">
        <f t="shared" ref="E77:G77" si="48">SUM(E75:E76)</f>
        <v>-73306</v>
      </c>
      <c r="F77" s="7">
        <f>SUM(F75:F76)</f>
        <v>-89525</v>
      </c>
      <c r="G77" s="7">
        <f t="shared" si="48"/>
        <v>-87451</v>
      </c>
      <c r="H77" s="7">
        <f>SUM(H75:H76)</f>
        <v>-100947</v>
      </c>
      <c r="I77" s="7">
        <f>SUM(I75:I76)</f>
        <v>-84217.600000000006</v>
      </c>
      <c r="J77" s="7">
        <f t="shared" ref="J77:M77" si="49">SUM(J75:J76)</f>
        <v>-84217.600000000006</v>
      </c>
      <c r="K77" s="7">
        <f t="shared" si="49"/>
        <v>-84217.600000000006</v>
      </c>
      <c r="L77" s="7">
        <f t="shared" si="49"/>
        <v>-84217.600000000006</v>
      </c>
      <c r="M77" s="7">
        <f t="shared" si="49"/>
        <v>-84217.600000000006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 outlineLevel="1" x14ac:dyDescent="0.3">
      <c r="A78" s="5"/>
      <c r="B78" s="1"/>
      <c r="C78" s="3"/>
      <c r="D78" s="17"/>
      <c r="E78" s="17"/>
      <c r="F78" s="17"/>
      <c r="G78" s="17"/>
      <c r="H78" s="17"/>
      <c r="I78" s="5"/>
      <c r="J78" s="5"/>
      <c r="K78" s="5"/>
      <c r="L78" s="5"/>
      <c r="M78" s="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 outlineLevel="1" x14ac:dyDescent="0.3">
      <c r="A79" s="1" t="s">
        <v>52</v>
      </c>
      <c r="B79" s="1"/>
      <c r="C79" s="3"/>
      <c r="D79" s="1">
        <f>SUM(D77,D72,D68)</f>
        <v>2151</v>
      </c>
      <c r="E79" s="1">
        <f t="shared" ref="E79:F79" si="50">SUM(E77,E72,E68)</f>
        <v>-3520</v>
      </c>
      <c r="F79" s="1">
        <f t="shared" si="50"/>
        <v>887</v>
      </c>
      <c r="G79" s="1">
        <f>SUM(G77,G72,G68)</f>
        <v>8687</v>
      </c>
      <c r="H79" s="1">
        <f>SUM(H77,H72,H68)</f>
        <v>-16067</v>
      </c>
      <c r="I79" s="1">
        <f>SUM(I68+I72+I77)</f>
        <v>35502.707473955175</v>
      </c>
      <c r="J79" s="1">
        <f t="shared" ref="J79:M79" si="51">SUM(J68+J72+J77)</f>
        <v>27324.7816615458</v>
      </c>
      <c r="K79" s="1">
        <f t="shared" si="51"/>
        <v>37858.985419563105</v>
      </c>
      <c r="L79" s="1">
        <f t="shared" si="51"/>
        <v>49643.958489591867</v>
      </c>
      <c r="M79" s="1">
        <f t="shared" si="51"/>
        <v>62753.754025982489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outlineLevel="1" x14ac:dyDescent="0.3">
      <c r="A80" s="1" t="s">
        <v>53</v>
      </c>
      <c r="B80" s="1"/>
      <c r="C80" s="3"/>
      <c r="D80" s="4" t="s">
        <v>78</v>
      </c>
      <c r="E80" s="4">
        <f>D43</f>
        <v>90943</v>
      </c>
      <c r="F80" s="4">
        <f t="shared" ref="F80:M80" si="52">E43</f>
        <v>62639</v>
      </c>
      <c r="G80" s="4">
        <f t="shared" si="52"/>
        <v>48304</v>
      </c>
      <c r="H80" s="4">
        <f t="shared" si="52"/>
        <v>61555</v>
      </c>
      <c r="I80" s="4">
        <f>H43</f>
        <v>65171</v>
      </c>
      <c r="J80" s="4">
        <f t="shared" si="52"/>
        <v>28777.70747395519</v>
      </c>
      <c r="K80" s="4">
        <f t="shared" si="52"/>
        <v>56102.48913550099</v>
      </c>
      <c r="L80" s="4">
        <f t="shared" si="52"/>
        <v>93961.474555064138</v>
      </c>
      <c r="M80" s="4">
        <f t="shared" si="52"/>
        <v>143605.43304465598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outlineLevel="1" x14ac:dyDescent="0.3">
      <c r="A81" s="7" t="s">
        <v>54</v>
      </c>
      <c r="B81" s="6"/>
      <c r="C81" s="27"/>
      <c r="D81" s="4">
        <f>SUM(D79:D80)</f>
        <v>2151</v>
      </c>
      <c r="E81" s="4">
        <f>SUM(E79:E80)</f>
        <v>87423</v>
      </c>
      <c r="F81" s="4">
        <f t="shared" ref="F81:G81" si="53">SUM(F79:F80)</f>
        <v>63526</v>
      </c>
      <c r="G81" s="4">
        <f t="shared" si="53"/>
        <v>56991</v>
      </c>
      <c r="H81" s="4">
        <f>SUM(H79:H80)</f>
        <v>45488</v>
      </c>
      <c r="I81" s="7">
        <f>SUM(I79,I80)</f>
        <v>100673.70747395518</v>
      </c>
      <c r="J81" s="7">
        <f>SUM(J79,J80)</f>
        <v>56102.48913550099</v>
      </c>
      <c r="K81" s="7">
        <f t="shared" ref="K81:M81" si="54">SUM(K79,K80)</f>
        <v>93961.474555064095</v>
      </c>
      <c r="L81" s="7">
        <f t="shared" si="54"/>
        <v>143605.43304465601</v>
      </c>
      <c r="M81" s="7">
        <f t="shared" si="54"/>
        <v>206359.18707063847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outlineLevel="1" x14ac:dyDescent="0.3">
      <c r="A82" s="5"/>
      <c r="B82" s="1"/>
      <c r="C82" s="3"/>
      <c r="D82" s="17"/>
      <c r="E82" s="17"/>
      <c r="F82" s="17"/>
      <c r="G82" s="17"/>
      <c r="H82" s="1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outlineLevel="1" x14ac:dyDescent="0.3">
      <c r="A83" s="5"/>
      <c r="B83" s="1"/>
      <c r="C83" s="3"/>
      <c r="D83" s="17"/>
      <c r="E83" s="4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x14ac:dyDescent="0.3">
      <c r="A84" s="1"/>
      <c r="B84" s="1"/>
      <c r="C84" s="3"/>
      <c r="D84" s="4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x14ac:dyDescent="0.3">
      <c r="A85" s="73" t="s">
        <v>55</v>
      </c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outlineLevel="1" x14ac:dyDescent="0.3">
      <c r="A86" s="1"/>
      <c r="B86" s="1"/>
      <c r="C86" s="3"/>
      <c r="D86" s="4"/>
      <c r="E86" s="4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outlineLevel="1" x14ac:dyDescent="0.3">
      <c r="A87" s="5" t="s">
        <v>56</v>
      </c>
      <c r="B87" s="1"/>
      <c r="C87" s="3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outlineLevel="1" x14ac:dyDescent="0.3">
      <c r="A88" s="1" t="s">
        <v>28</v>
      </c>
      <c r="B88" s="1"/>
      <c r="C88" s="3"/>
      <c r="D88" s="1">
        <f>D44</f>
        <v>37445</v>
      </c>
      <c r="E88" s="1">
        <f t="shared" ref="E88:H88" si="55">E44</f>
        <v>51506</v>
      </c>
      <c r="F88" s="1">
        <f t="shared" si="55"/>
        <v>60932</v>
      </c>
      <c r="G88" s="1">
        <f t="shared" si="55"/>
        <v>60985</v>
      </c>
      <c r="H88" s="1">
        <f t="shared" si="55"/>
        <v>66243</v>
      </c>
      <c r="I88" s="1">
        <f>I44</f>
        <v>65442.369773992235</v>
      </c>
      <c r="J88" s="1">
        <f t="shared" ref="J88:M88" si="56">J44</f>
        <v>72031.550261565208</v>
      </c>
      <c r="K88" s="1">
        <f t="shared" si="56"/>
        <v>79284.174014529635</v>
      </c>
      <c r="L88" s="1">
        <f t="shared" si="56"/>
        <v>87267.040988847177</v>
      </c>
      <c r="M88" s="1">
        <f t="shared" si="56"/>
        <v>96053.677011928085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outlineLevel="1" x14ac:dyDescent="0.3">
      <c r="A89" s="1" t="s">
        <v>29</v>
      </c>
      <c r="B89" s="1"/>
      <c r="C89" s="3"/>
      <c r="D89" s="1">
        <f>D45</f>
        <v>4061</v>
      </c>
      <c r="E89" s="1">
        <f t="shared" ref="E89:H89" si="57">E45</f>
        <v>6580</v>
      </c>
      <c r="F89" s="1">
        <f t="shared" si="57"/>
        <v>4946</v>
      </c>
      <c r="G89" s="1">
        <f t="shared" si="57"/>
        <v>6331</v>
      </c>
      <c r="H89" s="1">
        <f>H45</f>
        <v>7286</v>
      </c>
      <c r="I89" s="1">
        <f>I45</f>
        <v>6959.4120604937198</v>
      </c>
      <c r="J89" s="1">
        <f>J45</f>
        <v>7660.1327451564794</v>
      </c>
      <c r="K89" s="1">
        <f>K45</f>
        <v>8431.4067285241017</v>
      </c>
      <c r="L89" s="1">
        <f t="shared" ref="J89:M89" si="58">L45</f>
        <v>9280.337793982877</v>
      </c>
      <c r="M89" s="1">
        <f t="shared" si="58"/>
        <v>10214.744981885475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outlineLevel="1" x14ac:dyDescent="0.3">
      <c r="A90" s="1" t="s">
        <v>33</v>
      </c>
      <c r="B90" s="1"/>
      <c r="C90" s="3"/>
      <c r="D90" s="1">
        <f>D50</f>
        <v>54490</v>
      </c>
      <c r="E90" s="1">
        <f t="shared" ref="E90:H90" si="59">E50</f>
        <v>53325</v>
      </c>
      <c r="F90" s="1">
        <f t="shared" si="59"/>
        <v>49142</v>
      </c>
      <c r="G90" s="1">
        <f>G50</f>
        <v>49848</v>
      </c>
      <c r="H90" s="1">
        <f t="shared" si="59"/>
        <v>45888</v>
      </c>
      <c r="I90" s="1">
        <f>I50</f>
        <v>61251.766996292186</v>
      </c>
      <c r="J90" s="1">
        <f t="shared" ref="J90:M90" si="60">J50</f>
        <v>67419.009247989059</v>
      </c>
      <c r="K90" s="1">
        <f t="shared" si="60"/>
        <v>74207.211169199087</v>
      </c>
      <c r="L90" s="1">
        <f t="shared" si="60"/>
        <v>81678.895180061649</v>
      </c>
      <c r="M90" s="1">
        <f t="shared" si="60"/>
        <v>89902.878880921882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outlineLevel="1" x14ac:dyDescent="0.3">
      <c r="A91" s="6" t="s">
        <v>57</v>
      </c>
      <c r="B91" s="6"/>
      <c r="C91" s="27"/>
      <c r="D91" s="6">
        <f>SUM(D88:D90)</f>
        <v>95996</v>
      </c>
      <c r="E91" s="6">
        <f t="shared" ref="E91:M91" si="61">SUM(E88:E90)</f>
        <v>111411</v>
      </c>
      <c r="F91" s="6">
        <f t="shared" si="61"/>
        <v>115020</v>
      </c>
      <c r="G91" s="6">
        <f t="shared" si="61"/>
        <v>117164</v>
      </c>
      <c r="H91" s="6">
        <f t="shared" si="61"/>
        <v>119417</v>
      </c>
      <c r="I91" s="6">
        <f t="shared" si="61"/>
        <v>133653.54883077813</v>
      </c>
      <c r="J91" s="6">
        <f>SUM(J88:J90)</f>
        <v>147110.69225471077</v>
      </c>
      <c r="K91" s="6">
        <f t="shared" si="61"/>
        <v>161922.79191225284</v>
      </c>
      <c r="L91" s="6">
        <f t="shared" si="61"/>
        <v>178226.27396289172</v>
      </c>
      <c r="M91" s="6">
        <f t="shared" si="61"/>
        <v>196171.30087473546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outlineLevel="1" x14ac:dyDescent="0.3">
      <c r="A92" s="1" t="s">
        <v>58</v>
      </c>
      <c r="B92" s="1"/>
      <c r="C92" s="3"/>
      <c r="D92" s="1">
        <f>(D91)</f>
        <v>95996</v>
      </c>
      <c r="E92" s="1">
        <f>E91-D91</f>
        <v>15415</v>
      </c>
      <c r="F92" s="1">
        <f>F91-E91</f>
        <v>3609</v>
      </c>
      <c r="G92" s="1">
        <f t="shared" ref="G92:M92" si="62">G91-F91</f>
        <v>2144</v>
      </c>
      <c r="H92" s="1">
        <f t="shared" si="62"/>
        <v>2253</v>
      </c>
      <c r="I92" s="1">
        <f>I91-H91</f>
        <v>14236.548830778134</v>
      </c>
      <c r="J92" s="1">
        <f>J91-I91</f>
        <v>13457.143423932634</v>
      </c>
      <c r="K92" s="1">
        <f>K91-J91</f>
        <v>14812.099657542072</v>
      </c>
      <c r="L92" s="1">
        <f>L91-K91</f>
        <v>16303.482050638879</v>
      </c>
      <c r="M92" s="1">
        <f>M91-L91</f>
        <v>17945.026911843743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outlineLevel="1" x14ac:dyDescent="0.3">
      <c r="A93" s="1"/>
      <c r="B93" s="1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outlineLevel="1" x14ac:dyDescent="0.3">
      <c r="A94" s="5" t="s">
        <v>59</v>
      </c>
      <c r="B94" s="1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outlineLevel="1" x14ac:dyDescent="0.3">
      <c r="A95" s="1" t="s">
        <v>60</v>
      </c>
      <c r="B95" s="1"/>
      <c r="C95" s="3"/>
      <c r="D95" s="4" t="s">
        <v>78</v>
      </c>
      <c r="E95" s="4">
        <f>D46</f>
        <v>36766</v>
      </c>
      <c r="F95" s="4">
        <f t="shared" ref="F95:H95" si="63">E46</f>
        <v>39440</v>
      </c>
      <c r="G95" s="4">
        <f t="shared" si="63"/>
        <v>42117</v>
      </c>
      <c r="H95" s="4">
        <f t="shared" si="63"/>
        <v>43715</v>
      </c>
      <c r="I95" s="1">
        <f>H98</f>
        <v>45680</v>
      </c>
      <c r="J95" s="1">
        <f>I98</f>
        <v>43115.399036727031</v>
      </c>
      <c r="K95" s="1">
        <f>J98</f>
        <v>41250.684916684448</v>
      </c>
      <c r="L95" s="1">
        <f>K98</f>
        <v>39894.856544441856</v>
      </c>
      <c r="M95" s="1">
        <f t="shared" ref="K95:M95" si="64">L98</f>
        <v>38909.037562744001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outlineLevel="1" x14ac:dyDescent="0.3">
      <c r="A96" s="1" t="s">
        <v>61</v>
      </c>
      <c r="B96" s="1"/>
      <c r="C96" s="3"/>
      <c r="D96" s="4" t="s">
        <v>78</v>
      </c>
      <c r="E96" s="4">
        <f>(E98-E95)+E97</f>
        <v>13958</v>
      </c>
      <c r="F96" s="4">
        <f>(F98-F95)+F97</f>
        <v>13781</v>
      </c>
      <c r="G96" s="4">
        <f>(G98-G95)+G97</f>
        <v>13117</v>
      </c>
      <c r="H96" s="4">
        <f>(H98-H95)+H97</f>
        <v>13410</v>
      </c>
      <c r="I96" s="1">
        <f>I18</f>
        <v>9901.6</v>
      </c>
      <c r="J96" s="1">
        <f t="shared" ref="J96:M96" si="65">J18</f>
        <v>9901.6</v>
      </c>
      <c r="K96" s="1">
        <f t="shared" si="65"/>
        <v>9901.6</v>
      </c>
      <c r="L96" s="1">
        <f t="shared" si="65"/>
        <v>9901.6</v>
      </c>
      <c r="M96" s="1">
        <f t="shared" si="65"/>
        <v>9901.6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outlineLevel="1" x14ac:dyDescent="0.3">
      <c r="A97" s="1" t="s">
        <v>62</v>
      </c>
      <c r="B97" s="1"/>
      <c r="D97" s="4">
        <v>11056</v>
      </c>
      <c r="E97" s="4">
        <v>11284</v>
      </c>
      <c r="F97" s="4">
        <v>11104</v>
      </c>
      <c r="G97" s="4">
        <v>11519</v>
      </c>
      <c r="H97" s="4">
        <v>11445</v>
      </c>
      <c r="I97" s="1">
        <f>I66</f>
        <v>12466.20096327297</v>
      </c>
      <c r="J97" s="1">
        <f t="shared" ref="J97:M97" si="66">J66</f>
        <v>11766.314120042578</v>
      </c>
      <c r="K97" s="1">
        <f>K66</f>
        <v>11257.428372242588</v>
      </c>
      <c r="L97" s="1">
        <f t="shared" si="66"/>
        <v>10887.418981697854</v>
      </c>
      <c r="M97" s="1">
        <f t="shared" si="66"/>
        <v>10618.386198439217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 outlineLevel="1" x14ac:dyDescent="0.3">
      <c r="A98" s="6" t="s">
        <v>63</v>
      </c>
      <c r="B98" s="6"/>
      <c r="C98" s="27"/>
      <c r="D98" s="4">
        <f>D46</f>
        <v>36766</v>
      </c>
      <c r="E98" s="4">
        <f t="shared" ref="E98:H98" si="67">E46</f>
        <v>39440</v>
      </c>
      <c r="F98" s="4">
        <f t="shared" si="67"/>
        <v>42117</v>
      </c>
      <c r="G98" s="4">
        <f t="shared" si="67"/>
        <v>43715</v>
      </c>
      <c r="H98" s="4">
        <f t="shared" si="67"/>
        <v>45680</v>
      </c>
      <c r="I98" s="4">
        <f>(I95+I96)-I97</f>
        <v>43115.399036727031</v>
      </c>
      <c r="J98" s="4">
        <f>(J95+J96)-J97</f>
        <v>41250.684916684448</v>
      </c>
      <c r="K98" s="4">
        <f t="shared" ref="J98:M98" si="68">(K95+K96)-K97</f>
        <v>39894.856544441856</v>
      </c>
      <c r="L98" s="4">
        <f t="shared" si="68"/>
        <v>38909.037562744001</v>
      </c>
      <c r="M98" s="4">
        <f t="shared" si="68"/>
        <v>38192.251364304786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 outlineLevel="1" x14ac:dyDescent="0.3">
      <c r="A99" s="1"/>
      <c r="B99" s="1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outlineLevel="1" x14ac:dyDescent="0.3">
      <c r="A100" s="5" t="s">
        <v>64</v>
      </c>
      <c r="B100" s="1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outlineLevel="1" x14ac:dyDescent="0.3">
      <c r="A101" s="1" t="s">
        <v>65</v>
      </c>
      <c r="B101" s="1"/>
      <c r="C101" s="3"/>
      <c r="D101" s="4" t="s">
        <v>78</v>
      </c>
      <c r="E101" s="4">
        <f>D51</f>
        <v>91807</v>
      </c>
      <c r="F101" s="4">
        <f>E51</f>
        <v>109106</v>
      </c>
      <c r="G101" s="4">
        <f t="shared" ref="F101:H101" si="69">F51</f>
        <v>98959</v>
      </c>
      <c r="H101" s="4">
        <f t="shared" si="69"/>
        <v>95281</v>
      </c>
      <c r="I101" s="1">
        <f>H103</f>
        <v>89283</v>
      </c>
      <c r="J101" s="1">
        <f>I103</f>
        <v>89111.4</v>
      </c>
      <c r="K101" s="1">
        <f>J103</f>
        <v>88939.799999999988</v>
      </c>
      <c r="L101" s="1">
        <f t="shared" ref="K101:M101" si="70">K103</f>
        <v>88768.199999999983</v>
      </c>
      <c r="M101" s="1">
        <f t="shared" si="70"/>
        <v>88596.599999999977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 outlineLevel="1" x14ac:dyDescent="0.3">
      <c r="A102" s="1" t="s">
        <v>66</v>
      </c>
      <c r="B102" s="1"/>
      <c r="C102" s="3"/>
      <c r="D102" s="1">
        <f>D19</f>
        <v>2499</v>
      </c>
      <c r="E102" s="1">
        <f>E19</f>
        <v>12665</v>
      </c>
      <c r="F102" s="1">
        <f t="shared" ref="E102:H102" si="71">F19</f>
        <v>-123</v>
      </c>
      <c r="G102" s="1">
        <f t="shared" si="71"/>
        <v>-9901</v>
      </c>
      <c r="H102" s="1">
        <f t="shared" si="71"/>
        <v>-5998</v>
      </c>
      <c r="I102" s="1">
        <f>I19</f>
        <v>-171.6</v>
      </c>
      <c r="J102" s="1">
        <f t="shared" ref="J102:M102" si="72">J19</f>
        <v>-171.6</v>
      </c>
      <c r="K102" s="1">
        <f t="shared" si="72"/>
        <v>-171.6</v>
      </c>
      <c r="L102" s="1">
        <f t="shared" si="72"/>
        <v>-171.6</v>
      </c>
      <c r="M102" s="1">
        <f t="shared" si="72"/>
        <v>-171.6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 outlineLevel="1" x14ac:dyDescent="0.3">
      <c r="A103" s="6" t="s">
        <v>67</v>
      </c>
      <c r="B103" s="6"/>
      <c r="C103" s="27"/>
      <c r="D103" s="6">
        <f>SUM(D101,D102)</f>
        <v>2499</v>
      </c>
      <c r="E103" s="6">
        <f t="shared" ref="E103:H103" si="73">SUM(E101,E102)</f>
        <v>104472</v>
      </c>
      <c r="F103" s="6">
        <f>SUM(F101,F102)</f>
        <v>108983</v>
      </c>
      <c r="G103" s="6">
        <f t="shared" si="73"/>
        <v>89058</v>
      </c>
      <c r="H103" s="6">
        <f>SUM(H101,H102)</f>
        <v>89283</v>
      </c>
      <c r="I103" s="6">
        <f>SUM(I101,I102)</f>
        <v>89111.4</v>
      </c>
      <c r="J103" s="6">
        <f t="shared" ref="J103:M103" si="74">SUM(J101,J102)</f>
        <v>88939.799999999988</v>
      </c>
      <c r="K103" s="6">
        <f t="shared" si="74"/>
        <v>88768.199999999983</v>
      </c>
      <c r="L103" s="6">
        <f t="shared" si="74"/>
        <v>88596.599999999977</v>
      </c>
      <c r="M103" s="6">
        <f t="shared" si="74"/>
        <v>88424.999999999971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outlineLevel="1" x14ac:dyDescent="0.3">
      <c r="A104" s="1" t="s">
        <v>68</v>
      </c>
      <c r="B104" s="1"/>
      <c r="D104" s="1" t="s">
        <v>78</v>
      </c>
      <c r="E104" s="1" t="s">
        <v>78</v>
      </c>
      <c r="F104" s="1" t="s">
        <v>78</v>
      </c>
      <c r="G104" s="1" t="s">
        <v>78</v>
      </c>
      <c r="H104" s="1" t="s">
        <v>78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 outlineLevel="1" x14ac:dyDescent="0.3">
      <c r="A105" s="1"/>
      <c r="B105" s="1"/>
      <c r="C105" s="3"/>
      <c r="D105" s="4"/>
      <c r="E105" s="4" t="s">
        <v>71</v>
      </c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outlineLevel="1" x14ac:dyDescent="0.3">
      <c r="A106" s="1"/>
      <c r="B106" s="1"/>
      <c r="C106" s="3"/>
      <c r="D106" s="4"/>
      <c r="E106" s="17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x14ac:dyDescent="0.3">
      <c r="A107" s="1"/>
      <c r="B107" s="1"/>
      <c r="C107" s="3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x14ac:dyDescent="0.3">
      <c r="A108" s="82" t="s">
        <v>69</v>
      </c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 outlineLevel="1" x14ac:dyDescent="0.3">
      <c r="A109" s="1"/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outlineLevel="1" x14ac:dyDescent="0.3">
      <c r="A110" s="1" t="s">
        <v>17</v>
      </c>
      <c r="B110" s="1"/>
      <c r="C110" s="3"/>
      <c r="D110" s="1">
        <f>D26</f>
        <v>274515</v>
      </c>
      <c r="E110" s="1">
        <f t="shared" ref="E110:M110" si="75">E26</f>
        <v>365817</v>
      </c>
      <c r="F110" s="1">
        <f t="shared" si="75"/>
        <v>394328</v>
      </c>
      <c r="G110" s="1">
        <f t="shared" si="75"/>
        <v>383285</v>
      </c>
      <c r="H110" s="1">
        <f t="shared" si="75"/>
        <v>391035</v>
      </c>
      <c r="I110" s="1">
        <f t="shared" si="75"/>
        <v>430407.04903881822</v>
      </c>
      <c r="J110" s="1">
        <f t="shared" si="75"/>
        <v>473743.34231540316</v>
      </c>
      <c r="K110" s="1">
        <f t="shared" si="75"/>
        <v>521443.02675658028</v>
      </c>
      <c r="L110" s="1">
        <f t="shared" si="75"/>
        <v>573945.43810188153</v>
      </c>
      <c r="M110" s="1">
        <f t="shared" si="75"/>
        <v>631734.14738507429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outlineLevel="1" x14ac:dyDescent="0.3">
      <c r="A111" s="1" t="s">
        <v>70</v>
      </c>
      <c r="B111" s="1"/>
      <c r="C111" s="3"/>
      <c r="D111" s="28">
        <f>D28/D110</f>
        <v>0.38233247727810865</v>
      </c>
      <c r="E111" s="28">
        <f t="shared" ref="E111:M111" si="76">E28/E110</f>
        <v>0.41779359625167778</v>
      </c>
      <c r="F111" s="28">
        <f t="shared" si="76"/>
        <v>0.43309630561360085</v>
      </c>
      <c r="G111" s="28">
        <f t="shared" si="76"/>
        <v>0.44131129577207562</v>
      </c>
      <c r="H111" s="28">
        <f t="shared" si="76"/>
        <v>0.46206349815233932</v>
      </c>
      <c r="I111" s="28">
        <f t="shared" si="76"/>
        <v>0.42731943461356037</v>
      </c>
      <c r="J111" s="28">
        <f t="shared" si="76"/>
        <v>0.42731943461356037</v>
      </c>
      <c r="K111" s="28">
        <f t="shared" si="76"/>
        <v>0.42731943461356031</v>
      </c>
      <c r="L111" s="28">
        <f t="shared" si="76"/>
        <v>0.42731943461356037</v>
      </c>
      <c r="M111" s="28">
        <f t="shared" si="76"/>
        <v>0.42731943461356031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outlineLevel="1" x14ac:dyDescent="0.3">
      <c r="A112" s="1"/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outlineLevel="1" x14ac:dyDescent="0.3">
      <c r="A113" s="1" t="s">
        <v>41</v>
      </c>
      <c r="B113" s="1"/>
      <c r="C113" s="3"/>
      <c r="D113" s="1">
        <f>D68</f>
        <v>79319</v>
      </c>
      <c r="E113" s="1">
        <f t="shared" ref="E113:M113" si="77">E68</f>
        <v>80871</v>
      </c>
      <c r="F113" s="1">
        <f t="shared" si="77"/>
        <v>101120</v>
      </c>
      <c r="G113" s="1">
        <f t="shared" si="77"/>
        <v>107097</v>
      </c>
      <c r="H113" s="1">
        <f t="shared" si="77"/>
        <v>94327</v>
      </c>
      <c r="I113" s="1">
        <f t="shared" si="77"/>
        <v>129621.90747395519</v>
      </c>
      <c r="J113" s="1">
        <f t="shared" si="77"/>
        <v>121443.98166154581</v>
      </c>
      <c r="K113" s="1">
        <f t="shared" si="77"/>
        <v>131978.18541956312</v>
      </c>
      <c r="L113" s="1">
        <f t="shared" si="77"/>
        <v>143763.15848959188</v>
      </c>
      <c r="M113" s="1">
        <f t="shared" si="77"/>
        <v>156872.9540259825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outlineLevel="1" x14ac:dyDescent="0.3">
      <c r="A114" s="1" t="s">
        <v>45</v>
      </c>
      <c r="B114" s="1"/>
      <c r="C114" s="3"/>
      <c r="D114" s="1">
        <f>D72</f>
        <v>-7309</v>
      </c>
      <c r="E114" s="1">
        <f t="shared" ref="E114:M114" si="78">E72</f>
        <v>-11085</v>
      </c>
      <c r="F114" s="1">
        <f t="shared" si="78"/>
        <v>-10708</v>
      </c>
      <c r="G114" s="1">
        <f t="shared" si="78"/>
        <v>-10959</v>
      </c>
      <c r="H114" s="1">
        <f t="shared" si="78"/>
        <v>-9447</v>
      </c>
      <c r="I114" s="1">
        <f t="shared" si="78"/>
        <v>-9901.6</v>
      </c>
      <c r="J114" s="1">
        <f t="shared" si="78"/>
        <v>-9901.6</v>
      </c>
      <c r="K114" s="1">
        <f t="shared" si="78"/>
        <v>-9901.6</v>
      </c>
      <c r="L114" s="1">
        <f t="shared" si="78"/>
        <v>-9901.6</v>
      </c>
      <c r="M114" s="1">
        <f t="shared" si="78"/>
        <v>-9901.6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outlineLevel="1" x14ac:dyDescent="0.3">
      <c r="A115" s="1" t="s">
        <v>48</v>
      </c>
      <c r="B115" s="1"/>
      <c r="C115" s="3"/>
      <c r="D115" s="1">
        <f>D77</f>
        <v>-69859</v>
      </c>
      <c r="E115" s="1">
        <f t="shared" ref="E115:M115" si="79">E77</f>
        <v>-73306</v>
      </c>
      <c r="F115" s="1">
        <f t="shared" si="79"/>
        <v>-89525</v>
      </c>
      <c r="G115" s="1">
        <f t="shared" si="79"/>
        <v>-87451</v>
      </c>
      <c r="H115" s="1">
        <f t="shared" si="79"/>
        <v>-100947</v>
      </c>
      <c r="I115" s="1">
        <f t="shared" si="79"/>
        <v>-84217.600000000006</v>
      </c>
      <c r="J115" s="1">
        <f t="shared" si="79"/>
        <v>-84217.600000000006</v>
      </c>
      <c r="K115" s="1">
        <f t="shared" si="79"/>
        <v>-84217.600000000006</v>
      </c>
      <c r="L115" s="1">
        <f t="shared" si="79"/>
        <v>-84217.600000000006</v>
      </c>
      <c r="M115" s="1">
        <f t="shared" si="79"/>
        <v>-84217.600000000006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outlineLevel="1" x14ac:dyDescent="0.3">
      <c r="A116" s="1"/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outlineLevel="1" x14ac:dyDescent="0.3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outlineLevel="1" x14ac:dyDescent="0.3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outlineLevel="1" x14ac:dyDescent="0.3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outlineLevel="1" x14ac:dyDescent="0.3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outlineLevel="1" x14ac:dyDescent="0.3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outlineLevel="1" x14ac:dyDescent="0.3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outlineLevel="1" x14ac:dyDescent="0.3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outlineLevel="1" x14ac:dyDescent="0.3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outlineLevel="1" x14ac:dyDescent="0.3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outlineLevel="1" x14ac:dyDescent="0.3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outlineLevel="1" x14ac:dyDescent="0.3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outlineLevel="1" x14ac:dyDescent="0.3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outlineLevel="1" x14ac:dyDescent="0.3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outlineLevel="1" x14ac:dyDescent="0.3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outlineLevel="1" x14ac:dyDescent="0.3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outlineLevel="1" x14ac:dyDescent="0.3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x14ac:dyDescent="0.3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5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83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 x14ac:dyDescent="0.3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 x14ac:dyDescent="0.3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 x14ac:dyDescent="0.3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 x14ac:dyDescent="0.3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 x14ac:dyDescent="0.3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 x14ac:dyDescent="0.3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 x14ac:dyDescent="0.3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 x14ac:dyDescent="0.3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x14ac:dyDescent="0.3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 x14ac:dyDescent="0.3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 x14ac:dyDescent="0.3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x14ac:dyDescent="0.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x14ac:dyDescent="0.3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 x14ac:dyDescent="0.3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 x14ac:dyDescent="0.3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 x14ac:dyDescent="0.3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 x14ac:dyDescent="0.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 x14ac:dyDescent="0.3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x14ac:dyDescent="0.3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 x14ac:dyDescent="0.3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 x14ac:dyDescent="0.3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 x14ac:dyDescent="0.3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 x14ac:dyDescent="0.3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 x14ac:dyDescent="0.3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 x14ac:dyDescent="0.3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 x14ac:dyDescent="0.3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 x14ac:dyDescent="0.3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 x14ac:dyDescent="0.3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 x14ac:dyDescent="0.3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 x14ac:dyDescent="0.3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 x14ac:dyDescent="0.3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 x14ac:dyDescent="0.3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 x14ac:dyDescent="0.3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 x14ac:dyDescent="0.3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 x14ac:dyDescent="0.3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 x14ac:dyDescent="0.3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1:H1"/>
    <mergeCell ref="I1:M1"/>
  </mergeCells>
  <conditionalFormatting sqref="D3:M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0866141732283472" right="0.70866141732283472" top="0.74803149606299213" bottom="0.74803149606299213" header="0" footer="0"/>
  <pageSetup scale="78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Three Statement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hilal berhe</cp:lastModifiedBy>
  <dcterms:created xsi:type="dcterms:W3CDTF">2014-11-08T22:00:02Z</dcterms:created>
  <dcterms:modified xsi:type="dcterms:W3CDTF">2026-06-10T15:34:48Z</dcterms:modified>
</cp:coreProperties>
</file>